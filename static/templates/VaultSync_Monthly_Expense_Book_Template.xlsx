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0" yWindow="-90" windowWidth="19380" windowHeight="10260" tabRatio="600" firstSheet="0" activeTab="0" autoFilterDateGrouping="1"/>
  </bookViews>
  <sheets>
    <sheet name="Transactions" sheetId="1" state="visible" r:id="rId1"/>
    <sheet name="Dashboard" sheetId="2" state="visible" r:id="rId2"/>
    <sheet name="Daily Summary" sheetId="3" state="visible" r:id="rId3"/>
    <sheet name="Setting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[$₹-4009]\ #,##0.00"/>
    <numFmt numFmtId="166" formatCode="yyyy\-mm\-dd"/>
    <numFmt numFmtId="167" formatCode="hh:mm\ AM/PM"/>
    <numFmt numFmtId="168" formatCode="yyyy-mm-dd"/>
    <numFmt numFmtId="169" formatCode="[$₹-en-IN] #,##0.00"/>
  </numFmts>
  <fonts count="21">
    <font>
      <name val="Calibri"/>
      <family val="2"/>
      <color theme="1"/>
      <sz val="11"/>
      <scheme val="minor"/>
    </font>
    <font>
      <name val="Montserrat"/>
      <b val="1"/>
      <color rgb="FFFFFFFF"/>
      <sz val="11"/>
    </font>
    <font>
      <name val="Roboto"/>
      <color rgb="FF181D16"/>
      <sz val="10"/>
    </font>
    <font>
      <name val="Montserrat"/>
      <b val="1"/>
      <color rgb="FF3B6939"/>
      <sz val="14"/>
    </font>
    <font>
      <name val="Montserrat"/>
      <b val="1"/>
      <color rgb="FFFFFFFF"/>
      <sz val="10"/>
    </font>
    <font>
      <name val="Roboto"/>
      <b val="1"/>
      <color rgb="FF181D16"/>
      <sz val="14"/>
    </font>
    <font>
      <name val="Roboto"/>
      <b val="1"/>
      <color rgb="FF181D16"/>
      <sz val="10"/>
    </font>
    <font>
      <name val="Roboto"/>
      <color rgb="FF181D16"/>
      <sz val="10"/>
    </font>
    <font>
      <name val="Consolas"/>
      <color rgb="FF333333"/>
      <sz val="9"/>
    </font>
    <font>
      <name val="Montserrat"/>
      <b val="1"/>
      <color rgb="FF3B6939"/>
      <sz val="13"/>
    </font>
    <font>
      <name val="Roboto"/>
      <i val="1"/>
      <color rgb="FF666666"/>
      <sz val="9"/>
    </font>
    <font>
      <name val="Montserrat"/>
      <b val="1"/>
      <color rgb="FFFFFFFF"/>
      <sz val="10"/>
    </font>
    <font>
      <name val="Roboto"/>
      <b val="1"/>
      <color rgb="FF181D16"/>
      <sz val="14"/>
    </font>
    <font>
      <name val="Roboto"/>
      <color rgb="FF181D16"/>
      <sz val="10"/>
    </font>
    <font>
      <name val="Roboto"/>
      <b val="1"/>
      <color rgb="FF181D16"/>
      <sz val="10"/>
    </font>
    <font>
      <name val="Roboto"/>
      <b val="1"/>
      <color rgb="FF1B5E20"/>
      <sz val="11"/>
    </font>
    <font>
      <name val="Roboto"/>
      <i val="1"/>
      <color rgb="FF555555"/>
      <sz val="9"/>
    </font>
    <font>
      <name val="Roboto"/>
      <b val="1"/>
      <color rgb="FF181D16"/>
      <sz val="11"/>
    </font>
    <font>
      <name val="Montserrat"/>
      <b val="1"/>
      <color rgb="FFFFFFFF"/>
      <sz val="9"/>
    </font>
    <font>
      <name val="Roboto"/>
      <color rgb="001F2937"/>
      <sz val="10"/>
    </font>
    <font>
      <name val="Consolas"/>
      <color rgb="00374151"/>
      <sz val="9"/>
    </font>
  </fonts>
  <fills count="10">
    <fill>
      <patternFill/>
    </fill>
    <fill>
      <patternFill patternType="gray125"/>
    </fill>
    <fill>
      <patternFill patternType="solid">
        <fgColor rgb="FF3B6939"/>
        <bgColor rgb="FF3B6939"/>
      </patternFill>
    </fill>
    <fill>
      <patternFill patternType="solid">
        <fgColor rgb="FFF7FAF0"/>
        <bgColor rgb="FFF7FAF0"/>
      </patternFill>
    </fill>
    <fill>
      <patternFill patternType="solid">
        <fgColor rgb="FFE8F0E6"/>
        <bgColor rgb="FFE8F0E6"/>
      </patternFill>
    </fill>
    <fill>
      <patternFill patternType="solid">
        <fgColor rgb="FF3B6939"/>
        <bgColor rgb="FF3B6939"/>
      </patternFill>
    </fill>
    <fill>
      <patternFill patternType="solid">
        <fgColor rgb="FFF7FAF0"/>
        <bgColor rgb="FFF7FAF0"/>
      </patternFill>
    </fill>
    <fill>
      <patternFill patternType="solid">
        <fgColor rgb="FFE8F0E6"/>
        <bgColor rgb="FFE8F0E6"/>
      </patternFill>
    </fill>
    <fill>
      <patternFill patternType="solid">
        <fgColor rgb="FFFFF9C4"/>
        <bgColor rgb="FFFFF9C4"/>
      </patternFill>
    </fill>
    <fill>
      <patternFill patternType="solid">
        <fgColor rgb="FF558B2F"/>
        <bgColor rgb="FF558B2F"/>
      </patternFill>
    </fill>
  </fills>
  <borders count="11">
    <border>
      <left/>
      <right/>
      <top/>
      <bottom/>
      <diagonal/>
    </border>
    <border>
      <left style="thin">
        <color rgb="FFD0D7D0"/>
      </left>
      <right style="thin">
        <color rgb="FFD0D7D0"/>
      </right>
      <top style="thin">
        <color rgb="FFD0D7D0"/>
      </top>
      <bottom style="thin">
        <color rgb="FFD0D7D0"/>
      </bottom>
      <diagonal/>
    </border>
    <border>
      <left/>
      <right style="thin">
        <color rgb="FFD0D7D0"/>
      </right>
      <top style="thin">
        <color rgb="FFD0D7D0"/>
      </top>
      <bottom style="thin">
        <color rgb="FFD0D7D0"/>
      </bottom>
      <diagonal/>
    </border>
    <border>
      <left/>
      <right/>
      <top style="thin">
        <color rgb="FFD0D7D0"/>
      </top>
      <bottom style="thin">
        <color rgb="FFD0D7D0"/>
      </bottom>
      <diagonal/>
    </border>
    <border>
      <left style="thin">
        <color rgb="FFD0D7D0"/>
      </left>
      <right style="thin">
        <color rgb="FFD0D7D0"/>
      </right>
      <top style="thin">
        <color rgb="FFD0D7D0"/>
      </top>
      <bottom style="thin">
        <color rgb="FFD0D7D0"/>
      </bottom>
      <diagonal/>
    </border>
    <border>
      <left style="thin">
        <color rgb="FFD0D7D0"/>
      </left>
      <right style="thin">
        <color rgb="FFD0D7D0"/>
      </right>
      <top style="thin">
        <color rgb="FFD0D7D0"/>
      </top>
      <bottom style="thin">
        <color rgb="FFD0D7D0"/>
      </bottom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>
      <left style="thin">
        <color rgb="FFD0D7D0"/>
      </left>
      <right style="thin">
        <color rgb="FFD0D7D0"/>
      </right>
      <top style="thin">
        <color rgb="FFD0D7D0"/>
      </top>
      <bottom/>
      <diagonal/>
    </border>
    <border>
      <left/>
      <right/>
      <top style="thin">
        <color rgb="FFD0D7D0"/>
      </top>
      <bottom/>
      <diagonal/>
    </border>
    <border>
      <left/>
      <right style="thin">
        <color rgb="FFD0D7D0"/>
      </right>
      <top style="thin">
        <color rgb="FFD0D7D0"/>
      </top>
      <bottom/>
      <diagonal/>
    </border>
    <border>
      <left style="thin">
        <color rgb="00D0D7D0"/>
      </left>
      <right style="thin">
        <color rgb="00D0D7D0"/>
      </right>
      <top style="thin">
        <color rgb="00D0D7D0"/>
      </top>
      <bottom style="thin">
        <color rgb="00D0D7D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166" fontId="7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left" vertical="center"/>
    </xf>
    <xf numFmtId="165" fontId="7" fillId="0" borderId="4" applyAlignment="1" pivotButton="0" quotePrefix="0" xfId="0">
      <alignment horizontal="right" vertical="center"/>
    </xf>
    <xf numFmtId="49" fontId="8" fillId="0" borderId="4" applyAlignment="1" pivotButton="0" quotePrefix="0" xfId="0">
      <alignment horizontal="center" vertical="center"/>
    </xf>
    <xf numFmtId="18" fontId="7" fillId="0" borderId="4" applyAlignment="1" pivotButton="0" quotePrefix="0" xfId="0">
      <alignment horizontal="center" vertical="center"/>
    </xf>
    <xf numFmtId="167" fontId="7" fillId="0" borderId="4" applyAlignment="1" pivotButton="0" quotePrefix="0" xfId="0">
      <alignment horizontal="center" vertical="center"/>
    </xf>
    <xf numFmtId="0" fontId="11" fillId="5" borderId="5" applyAlignment="1" pivotButton="0" quotePrefix="0" xfId="0">
      <alignment horizontal="center" vertical="center"/>
    </xf>
    <xf numFmtId="165" fontId="12" fillId="6" borderId="5" applyAlignment="1" pivotButton="0" quotePrefix="0" xfId="0">
      <alignment horizontal="center" vertical="center"/>
    </xf>
    <xf numFmtId="166" fontId="13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165" fontId="13" fillId="0" borderId="5" applyAlignment="1" pivotButton="0" quotePrefix="0" xfId="0">
      <alignment horizontal="right" vertical="center"/>
    </xf>
    <xf numFmtId="165" fontId="14" fillId="0" borderId="5" applyAlignment="1" pivotButton="0" quotePrefix="0" xfId="0">
      <alignment horizontal="right" vertical="center"/>
    </xf>
    <xf numFmtId="0" fontId="13" fillId="0" borderId="5" applyAlignment="1" pivotButton="0" quotePrefix="0" xfId="0">
      <alignment horizontal="left" vertical="center"/>
    </xf>
    <xf numFmtId="0" fontId="14" fillId="0" borderId="5" applyAlignment="1" pivotButton="0" quotePrefix="0" xfId="0">
      <alignment horizontal="right" vertical="center"/>
    </xf>
    <xf numFmtId="166" fontId="15" fillId="8" borderId="6" applyAlignment="1" pivotButton="0" quotePrefix="0" xfId="0">
      <alignment horizontal="center" vertical="center"/>
    </xf>
    <xf numFmtId="0" fontId="14" fillId="7" borderId="5" applyAlignment="1" pivotButton="0" quotePrefix="0" xfId="0">
      <alignment horizontal="left" vertical="center"/>
    </xf>
    <xf numFmtId="0" fontId="18" fillId="9" borderId="5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165" fontId="14" fillId="7" borderId="5" applyAlignment="1" pivotButton="0" quotePrefix="0" xfId="0">
      <alignment horizontal="right" vertical="center"/>
    </xf>
    <xf numFmtId="0" fontId="6" fillId="4" borderId="4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pivotButton="0" quotePrefix="0" xfId="0"/>
    <xf numFmtId="165" fontId="5" fillId="3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11" fillId="5" borderId="5" applyAlignment="1" pivotButton="0" quotePrefix="0" xfId="0">
      <alignment horizontal="center" vertical="center"/>
    </xf>
    <xf numFmtId="0" fontId="0" fillId="0" borderId="5" pivotButton="0" quotePrefix="0" xfId="0"/>
    <xf numFmtId="0" fontId="9" fillId="0" borderId="0" applyAlignment="1" pivotButton="0" quotePrefix="0" xfId="0">
      <alignment horizontal="left" vertical="center"/>
    </xf>
    <xf numFmtId="165" fontId="14" fillId="0" borderId="5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14" fillId="0" borderId="5" applyAlignment="1" pivotButton="0" quotePrefix="0" xfId="0">
      <alignment horizontal="right" vertical="center"/>
    </xf>
    <xf numFmtId="0" fontId="12" fillId="6" borderId="5" applyAlignment="1" pivotButton="0" quotePrefix="0" xfId="0">
      <alignment horizontal="center" vertical="center"/>
    </xf>
    <xf numFmtId="165" fontId="12" fillId="6" borderId="5" applyAlignment="1" pivotButton="0" quotePrefix="0" xfId="0">
      <alignment horizontal="center" vertical="center"/>
    </xf>
    <xf numFmtId="0" fontId="16" fillId="0" borderId="5" applyAlignment="1" pivotButton="0" quotePrefix="0" xfId="0">
      <alignment horizontal="left" vertical="center"/>
    </xf>
    <xf numFmtId="165" fontId="17" fillId="7" borderId="5" applyAlignment="1" pivotButton="0" quotePrefix="0" xfId="0">
      <alignment horizontal="right" vertical="center"/>
    </xf>
    <xf numFmtId="166" fontId="7" fillId="0" borderId="7" applyAlignment="1" pivotButton="0" quotePrefix="0" xfId="0">
      <alignment horizontal="center" vertical="center"/>
    </xf>
    <xf numFmtId="167" fontId="7" fillId="0" borderId="7" applyAlignment="1" pivotButton="0" quotePrefix="0" xfId="0">
      <alignment horizontal="center" vertical="center"/>
    </xf>
    <xf numFmtId="165" fontId="7" fillId="0" borderId="7" applyAlignment="1" pivotButton="0" quotePrefix="0" xfId="0">
      <alignment horizontal="right" vertical="center"/>
    </xf>
    <xf numFmtId="49" fontId="8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left" vertical="center"/>
    </xf>
    <xf numFmtId="0" fontId="2" fillId="0" borderId="7" applyAlignment="1" pivotButton="0" quotePrefix="0" xfId="0">
      <alignment horizontal="center" vertical="center"/>
    </xf>
    <xf numFmtId="168" fontId="19" fillId="0" borderId="10" applyAlignment="1" pivotButton="0" quotePrefix="0" xfId="0">
      <alignment horizontal="center" vertical="center"/>
    </xf>
    <xf numFmtId="49" fontId="19" fillId="0" borderId="10" applyAlignment="1" pivotButton="0" quotePrefix="0" xfId="0">
      <alignment horizontal="center" vertical="center"/>
    </xf>
    <xf numFmtId="0" fontId="19" fillId="0" borderId="10" applyAlignment="1" pivotButton="0" quotePrefix="0" xfId="0">
      <alignment horizontal="left" vertical="center"/>
    </xf>
    <xf numFmtId="169" fontId="19" fillId="0" borderId="10" applyAlignment="1" pivotButton="0" quotePrefix="0" xfId="0">
      <alignment horizontal="right" vertical="center"/>
    </xf>
    <xf numFmtId="0" fontId="19" fillId="0" borderId="10" applyAlignment="1" pivotButton="0" quotePrefix="0" xfId="0">
      <alignment horizontal="center" vertical="center"/>
    </xf>
    <xf numFmtId="49" fontId="20" fillId="0" borderId="10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165" fontId="5" fillId="3" borderId="5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168" fontId="15" fillId="8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ransactionsTable" displayName="TransactionsTable" ref="A1:M38" headerRowCount="1">
  <autoFilter ref="A1:M38"/>
  <tableColumns count="13">
    <tableColumn id="1" name="Date"/>
    <tableColumn id="2" name="Time"/>
    <tableColumn id="3" name="Expense Description"/>
    <tableColumn id="4" name="Category"/>
    <tableColumn id="5" name="Amount"/>
    <tableColumn id="6" name="Payment Method"/>
    <tableColumn id="7" name="Account / Paid By"/>
    <tableColumn id="8" name="Payee / Beneficiary"/>
    <tableColumn id="9" name="Transaction ID"/>
    <tableColumn id="10" name="UTR No."/>
    <tableColumn id="11" name="Type"/>
    <tableColumn id="12" name="Member"/>
    <tableColumn id="13" name="Notes / Purpos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M250"/>
  <ns0:sheetViews>
    <ns0:sheetView tabSelected="1" topLeftCell="G19" zoomScale="70" zoomScaleNormal="70" workbookViewId="0">
      <ns0:selection activeCell="M38" sqref="M38"/>
    </ns0:sheetView>
  </ns0:sheetViews>
  <ns0:sheetFormatPr baseColWidth="8" defaultRowHeight="14.75"/>
  <ns0:cols>
    <ns0:col width="13" customWidth="1" style="36" min="1" max="1"/>
    <ns0:col width="11" customWidth="1" style="36" min="2" max="2"/>
    <ns0:col width="33.86328125" customWidth="1" style="36" min="3" max="3"/>
    <ns0:col width="18" customWidth="1" style="36" min="4" max="4"/>
    <ns0:col width="19.54296875" customWidth="1" style="36" min="5" max="5"/>
    <ns0:col width="23.86328125" customWidth="1" style="36" min="6" max="6"/>
    <ns0:col width="26.26953125" customWidth="1" style="36" min="7" max="7"/>
    <ns0:col width="26" customWidth="1" style="36" min="8" max="8"/>
    <ns0:col width="30" customWidth="1" style="36" min="9" max="9"/>
    <ns0:col width="19.7265625" customWidth="1" style="36" min="10" max="10"/>
    <ns0:col width="12" customWidth="1" style="36" min="11" max="12"/>
    <ns0:col width="114.86328125" customWidth="1" style="36" min="13" max="13"/>
  </ns0:cols>
  <ns0:sheetData>
    <ns0:row r="1" ht="26.15" customHeight="1" s="36">
      <ns0:c r="A1" s="1" t="inlineStr">
        <ns0:is>
          <ns0:t>Date</ns0:t>
        </ns0:is>
      </ns0:c>
      <ns0:c r="B1" s="1" t="inlineStr">
        <ns0:is>
          <ns0:t>Time</ns0:t>
        </ns0:is>
      </ns0:c>
      <ns0:c r="C1" s="1" t="inlineStr">
        <ns0:is>
          <ns0:t>Expense Description</ns0:t>
        </ns0:is>
      </ns0:c>
      <ns0:c r="D1" s="1" t="inlineStr">
        <ns0:is>
          <ns0:t>Category</ns0:t>
        </ns0:is>
      </ns0:c>
      <ns0:c r="E1" s="1" t="inlineStr">
        <ns0:is>
          <ns0:t>Amount</ns0:t>
        </ns0:is>
      </ns0:c>
      <ns0:c r="F1" s="1" t="inlineStr">
        <ns0:is>
          <ns0:t>Payment Method</ns0:t>
        </ns0:is>
      </ns0:c>
      <ns0:c r="G1" s="1" t="inlineStr">
        <ns0:is>
          <ns0:t>Account / Paid By</ns0:t>
        </ns0:is>
      </ns0:c>
      <ns0:c r="H1" s="1" t="inlineStr">
        <ns0:is>
          <ns0:t>Payee / Beneficiary</ns0:t>
        </ns0:is>
      </ns0:c>
      <ns0:c r="I1" s="1" t="inlineStr">
        <ns0:is>
          <ns0:t>Transaction ID</ns0:t>
        </ns0:is>
      </ns0:c>
      <ns0:c r="J1" s="1" t="inlineStr">
        <ns0:is>
          <ns0:t>UTR No.</ns0:t>
        </ns0:is>
      </ns0:c>
      <ns0:c r="K1" s="1" t="inlineStr">
        <ns0:is>
          <ns0:t>Type</ns0:t>
        </ns0:is>
      </ns0:c>
      <ns0:c r="L1" s="1" t="inlineStr">
        <ns0:is>
          <ns0:t>Member</ns0:t>
        </ns0:is>
      </ns0:c>
      <ns0:c r="M1" s="1" t="inlineStr">
        <ns0:is>
          <ns0:t>Notes / Purpose</ns0:t>
        </ns0:is>
      </ns0:c>
    </ns0:row>
    <ns0:row r="2" ht="22" customHeight="1" s="36">
      <ns0:c r="A2" s="57"/>
      <ns0:c r="B2" s="58"/>
      <ns0:c r="C2" s="59"/>
      <ns0:c r="D2" s="59"/>
      <ns0:c r="E2" s="60"/>
      <ns0:c r="F2" s="61"/>
      <ns0:c r="G2" s="59"/>
      <ns0:c r="H2" s="59"/>
      <ns0:c r="I2" s="62"/>
      <ns0:c r="J2" s="62"/>
      <ns0:c r="K2" s="61"/>
      <ns0:c r="L2" s="61"/>
      <ns0:c r="M2" s="59"/>
    </ns0:row>
    <ns0:row r="3" ht="22" customHeight="1" s="36">
      <ns0:c r="A3" s="57"/>
      <ns0:c r="B3" s="58"/>
      <ns0:c r="C3" s="59"/>
      <ns0:c r="D3" s="59"/>
      <ns0:c r="E3" s="60"/>
      <ns0:c r="F3" s="61"/>
      <ns0:c r="G3" s="59"/>
      <ns0:c r="H3" s="59"/>
      <ns0:c r="I3" s="62"/>
      <ns0:c r="J3" s="62"/>
      <ns0:c r="K3" s="61"/>
      <ns0:c r="L3" s="61"/>
      <ns0:c r="M3" s="59"/>
    </ns0:row>
    <ns0:row r="4" ht="22" customHeight="1" s="36">
      <ns0:c r="A4" s="57"/>
      <ns0:c r="B4" s="58"/>
      <ns0:c r="C4" s="59"/>
      <ns0:c r="D4" s="59"/>
      <ns0:c r="E4" s="60"/>
      <ns0:c r="F4" s="61"/>
      <ns0:c r="G4" s="59"/>
      <ns0:c r="H4" s="59"/>
      <ns0:c r="I4" s="62"/>
      <ns0:c r="J4" s="62"/>
      <ns0:c r="K4" s="61"/>
      <ns0:c r="L4" s="61"/>
      <ns0:c r="M4" s="59"/>
    </ns0:row>
    <ns0:row r="5" ht="22" customHeight="1" s="36">
      <ns0:c r="A5" s="57"/>
      <ns0:c r="B5" s="58"/>
      <ns0:c r="C5" s="59"/>
      <ns0:c r="D5" s="59"/>
      <ns0:c r="E5" s="60"/>
      <ns0:c r="F5" s="61"/>
      <ns0:c r="G5" s="59"/>
      <ns0:c r="H5" s="59"/>
      <ns0:c r="I5" s="62"/>
      <ns0:c r="J5" s="62"/>
      <ns0:c r="K5" s="61"/>
      <ns0:c r="L5" s="61"/>
      <ns0:c r="M5" s="59"/>
    </ns0:row>
    <ns0:row r="6" ht="22" customHeight="1" s="36">
      <ns0:c r="A6" s="57"/>
      <ns0:c r="B6" s="58"/>
      <ns0:c r="C6" s="59"/>
      <ns0:c r="D6" s="59"/>
      <ns0:c r="E6" s="60"/>
      <ns0:c r="F6" s="61"/>
      <ns0:c r="G6" s="59"/>
      <ns0:c r="H6" s="59"/>
      <ns0:c r="I6" s="62"/>
      <ns0:c r="J6" s="62"/>
      <ns0:c r="K6" s="61"/>
      <ns0:c r="L6" s="61"/>
      <ns0:c r="M6" s="59"/>
    </ns0:row>
    <ns0:row r="7" ht="22" customHeight="1" s="36">
      <ns0:c r="A7" s="57"/>
      <ns0:c r="B7" s="58"/>
      <ns0:c r="C7" s="59"/>
      <ns0:c r="D7" s="59"/>
      <ns0:c r="E7" s="60"/>
      <ns0:c r="F7" s="61"/>
      <ns0:c r="G7" s="59"/>
      <ns0:c r="H7" s="59"/>
      <ns0:c r="I7" s="62"/>
      <ns0:c r="J7" s="62"/>
      <ns0:c r="K7" s="61"/>
      <ns0:c r="L7" s="61"/>
      <ns0:c r="M7" s="59"/>
    </ns0:row>
    <ns0:row r="8" ht="22" customHeight="1" s="36">
      <ns0:c r="A8" s="57"/>
      <ns0:c r="B8" s="58"/>
      <ns0:c r="C8" s="59"/>
      <ns0:c r="D8" s="59"/>
      <ns0:c r="E8" s="60"/>
      <ns0:c r="F8" s="61"/>
      <ns0:c r="G8" s="59"/>
      <ns0:c r="H8" s="59"/>
      <ns0:c r="I8" s="62"/>
      <ns0:c r="J8" s="62"/>
      <ns0:c r="K8" s="61"/>
      <ns0:c r="L8" s="61"/>
      <ns0:c r="M8" s="59"/>
    </ns0:row>
    <ns0:row r="9" ht="22" customHeight="1" s="36">
      <ns0:c r="A9" s="57"/>
      <ns0:c r="B9" s="58"/>
      <ns0:c r="C9" s="59"/>
      <ns0:c r="D9" s="59"/>
      <ns0:c r="E9" s="60"/>
      <ns0:c r="F9" s="61"/>
      <ns0:c r="G9" s="59"/>
      <ns0:c r="H9" s="59"/>
      <ns0:c r="I9" s="62"/>
      <ns0:c r="J9" s="62"/>
      <ns0:c r="K9" s="61"/>
      <ns0:c r="L9" s="61"/>
      <ns0:c r="M9" s="59"/>
    </ns0:row>
    <ns0:row r="10" ht="22" customHeight="1" s="36">
      <ns0:c r="A10" s="57"/>
      <ns0:c r="B10" s="58"/>
      <ns0:c r="C10" s="59"/>
      <ns0:c r="D10" s="59"/>
      <ns0:c r="E10" s="60"/>
      <ns0:c r="F10" s="61"/>
      <ns0:c r="G10" s="59"/>
      <ns0:c r="H10" s="59"/>
      <ns0:c r="I10" s="62"/>
      <ns0:c r="J10" s="62"/>
      <ns0:c r="K10" s="61"/>
      <ns0:c r="L10" s="61"/>
      <ns0:c r="M10" s="59"/>
    </ns0:row>
    <ns0:row r="11" ht="22" customHeight="1" s="36">
      <ns0:c r="A11" s="57"/>
      <ns0:c r="B11" s="58"/>
      <ns0:c r="C11" s="59"/>
      <ns0:c r="D11" s="59"/>
      <ns0:c r="E11" s="60"/>
      <ns0:c r="F11" s="61"/>
      <ns0:c r="G11" s="59"/>
      <ns0:c r="H11" s="59"/>
      <ns0:c r="I11" s="62"/>
      <ns0:c r="J11" s="62"/>
      <ns0:c r="K11" s="61"/>
      <ns0:c r="L11" s="61"/>
      <ns0:c r="M11" s="59"/>
    </ns0:row>
    <ns0:row r="12" ht="22" customHeight="1" s="36">
      <ns0:c r="A12" s="57"/>
      <ns0:c r="B12" s="58"/>
      <ns0:c r="C12" s="59"/>
      <ns0:c r="D12" s="59"/>
      <ns0:c r="E12" s="60"/>
      <ns0:c r="F12" s="61"/>
      <ns0:c r="G12" s="59"/>
      <ns0:c r="H12" s="59"/>
      <ns0:c r="I12" s="62"/>
      <ns0:c r="J12" s="62"/>
      <ns0:c r="K12" s="61"/>
      <ns0:c r="L12" s="61"/>
      <ns0:c r="M12" s="59"/>
    </ns0:row>
    <ns0:row r="13" ht="22" customHeight="1" s="36">
      <ns0:c r="A13" s="57"/>
      <ns0:c r="B13" s="58"/>
      <ns0:c r="C13" s="59"/>
      <ns0:c r="D13" s="59"/>
      <ns0:c r="E13" s="60"/>
      <ns0:c r="F13" s="61"/>
      <ns0:c r="G13" s="59"/>
      <ns0:c r="H13" s="59"/>
      <ns0:c r="I13" s="62"/>
      <ns0:c r="J13" s="62"/>
      <ns0:c r="K13" s="61"/>
      <ns0:c r="L13" s="61"/>
      <ns0:c r="M13" s="59"/>
    </ns0:row>
    <ns0:row r="14" ht="22" customHeight="1" s="36">
      <ns0:c r="A14" s="57"/>
      <ns0:c r="B14" s="58"/>
      <ns0:c r="C14" s="59"/>
      <ns0:c r="D14" s="59"/>
      <ns0:c r="E14" s="60"/>
      <ns0:c r="F14" s="61"/>
      <ns0:c r="G14" s="59"/>
      <ns0:c r="H14" s="59"/>
      <ns0:c r="I14" s="62"/>
      <ns0:c r="J14" s="62"/>
      <ns0:c r="K14" s="61"/>
      <ns0:c r="L14" s="61"/>
      <ns0:c r="M14" s="59"/>
    </ns0:row>
    <ns0:row r="15" ht="22" customHeight="1" s="36">
      <ns0:c r="A15" s="57"/>
      <ns0:c r="B15" s="58"/>
      <ns0:c r="C15" s="59"/>
      <ns0:c r="D15" s="59"/>
      <ns0:c r="E15" s="60"/>
      <ns0:c r="F15" s="61"/>
      <ns0:c r="G15" s="59"/>
      <ns0:c r="H15" s="59"/>
      <ns0:c r="I15" s="62"/>
      <ns0:c r="J15" s="62"/>
      <ns0:c r="K15" s="61"/>
      <ns0:c r="L15" s="61"/>
      <ns0:c r="M15" s="59"/>
    </ns0:row>
    <ns0:row r="16" ht="22" customHeight="1" s="36">
      <ns0:c r="A16" s="57"/>
      <ns0:c r="B16" s="58"/>
      <ns0:c r="C16" s="59"/>
      <ns0:c r="D16" s="59"/>
      <ns0:c r="E16" s="60"/>
      <ns0:c r="F16" s="61"/>
      <ns0:c r="G16" s="59"/>
      <ns0:c r="H16" s="59"/>
      <ns0:c r="I16" s="62"/>
      <ns0:c r="J16" s="62"/>
      <ns0:c r="K16" s="61"/>
      <ns0:c r="L16" s="61"/>
      <ns0:c r="M16" s="59"/>
    </ns0:row>
    <ns0:row r="17" ht="22" customHeight="1" s="36">
      <ns0:c r="A17" s="57"/>
      <ns0:c r="B17" s="58"/>
      <ns0:c r="C17" s="59"/>
      <ns0:c r="D17" s="59"/>
      <ns0:c r="E17" s="60"/>
      <ns0:c r="F17" s="61"/>
      <ns0:c r="G17" s="59"/>
      <ns0:c r="H17" s="59"/>
      <ns0:c r="I17" s="62"/>
      <ns0:c r="J17" s="62"/>
      <ns0:c r="K17" s="61"/>
      <ns0:c r="L17" s="61"/>
      <ns0:c r="M17" s="59"/>
    </ns0:row>
    <ns0:row r="18" ht="22" customHeight="1" s="36">
      <ns0:c r="A18" s="57"/>
      <ns0:c r="B18" s="58"/>
      <ns0:c r="C18" s="59"/>
      <ns0:c r="D18" s="59"/>
      <ns0:c r="E18" s="60"/>
      <ns0:c r="F18" s="61"/>
      <ns0:c r="G18" s="59"/>
      <ns0:c r="H18" s="59"/>
      <ns0:c r="I18" s="62"/>
      <ns0:c r="J18" s="62"/>
      <ns0:c r="K18" s="61"/>
      <ns0:c r="L18" s="61"/>
      <ns0:c r="M18" s="59"/>
    </ns0:row>
    <ns0:row r="19" ht="22" customHeight="1" s="36">
      <ns0:c r="A19" s="57"/>
      <ns0:c r="B19" s="58"/>
      <ns0:c r="C19" s="59"/>
      <ns0:c r="D19" s="59"/>
      <ns0:c r="E19" s="60"/>
      <ns0:c r="F19" s="61"/>
      <ns0:c r="G19" s="59"/>
      <ns0:c r="H19" s="59"/>
      <ns0:c r="I19" s="62"/>
      <ns0:c r="J19" s="62"/>
      <ns0:c r="K19" s="61"/>
      <ns0:c r="L19" s="61"/>
      <ns0:c r="M19" s="59"/>
    </ns0:row>
    <ns0:row r="20" ht="22" customHeight="1" s="36">
      <ns0:c r="A20" s="57"/>
      <ns0:c r="B20" s="58"/>
      <ns0:c r="C20" s="59"/>
      <ns0:c r="D20" s="59"/>
      <ns0:c r="E20" s="60"/>
      <ns0:c r="F20" s="61"/>
      <ns0:c r="G20" s="59"/>
      <ns0:c r="H20" s="59"/>
      <ns0:c r="I20" s="62"/>
      <ns0:c r="J20" s="62"/>
      <ns0:c r="K20" s="61"/>
      <ns0:c r="L20" s="61"/>
      <ns0:c r="M20" s="59"/>
    </ns0:row>
    <ns0:row r="21" ht="22" customHeight="1" s="36">
      <ns0:c r="A21" s="57"/>
      <ns0:c r="B21" s="58"/>
      <ns0:c r="C21" s="59"/>
      <ns0:c r="D21" s="59"/>
      <ns0:c r="E21" s="60"/>
      <ns0:c r="F21" s="61"/>
      <ns0:c r="G21" s="59"/>
      <ns0:c r="H21" s="59"/>
      <ns0:c r="I21" s="62"/>
      <ns0:c r="J21" s="62"/>
      <ns0:c r="K21" s="61"/>
      <ns0:c r="L21" s="61"/>
      <ns0:c r="M21" s="59"/>
    </ns0:row>
    <ns0:row r="22" ht="22" customHeight="1" s="36">
      <ns0:c r="A22" s="57"/>
      <ns0:c r="B22" s="58"/>
      <ns0:c r="C22" s="59"/>
      <ns0:c r="D22" s="59"/>
      <ns0:c r="E22" s="60"/>
      <ns0:c r="F22" s="61"/>
      <ns0:c r="G22" s="59"/>
      <ns0:c r="H22" s="59"/>
      <ns0:c r="I22" s="62"/>
      <ns0:c r="J22" s="62"/>
      <ns0:c r="K22" s="61"/>
      <ns0:c r="L22" s="61"/>
      <ns0:c r="M22" s="59"/>
    </ns0:row>
    <ns0:row r="23" ht="22" customHeight="1" s="36">
      <ns0:c r="A23" s="57"/>
      <ns0:c r="B23" s="58"/>
      <ns0:c r="C23" s="59"/>
      <ns0:c r="D23" s="59"/>
      <ns0:c r="E23" s="60"/>
      <ns0:c r="F23" s="61"/>
      <ns0:c r="G23" s="59"/>
      <ns0:c r="H23" s="59"/>
      <ns0:c r="I23" s="62"/>
      <ns0:c r="J23" s="62"/>
      <ns0:c r="K23" s="61"/>
      <ns0:c r="L23" s="61"/>
      <ns0:c r="M23" s="59"/>
    </ns0:row>
    <ns0:row r="24" ht="22" customHeight="1" s="36">
      <ns0:c r="A24" s="57"/>
      <ns0:c r="B24" s="58"/>
      <ns0:c r="C24" s="59"/>
      <ns0:c r="D24" s="59"/>
      <ns0:c r="E24" s="60"/>
      <ns0:c r="F24" s="61"/>
      <ns0:c r="G24" s="59"/>
      <ns0:c r="H24" s="59"/>
      <ns0:c r="I24" s="62"/>
      <ns0:c r="J24" s="62"/>
      <ns0:c r="K24" s="61"/>
      <ns0:c r="L24" s="61"/>
      <ns0:c r="M24" s="59"/>
    </ns0:row>
    <ns0:row r="25" ht="22" customHeight="1" s="36">
      <ns0:c r="A25" s="57"/>
      <ns0:c r="B25" s="58"/>
      <ns0:c r="C25" s="59"/>
      <ns0:c r="D25" s="59"/>
      <ns0:c r="E25" s="60"/>
      <ns0:c r="F25" s="61"/>
      <ns0:c r="G25" s="59"/>
      <ns0:c r="H25" s="59"/>
      <ns0:c r="I25" s="62"/>
      <ns0:c r="J25" s="62"/>
      <ns0:c r="K25" s="61"/>
      <ns0:c r="L25" s="61"/>
      <ns0:c r="M25" s="59"/>
    </ns0:row>
    <ns0:row r="26" ht="22" customHeight="1" s="36">
      <ns0:c r="A26" s="57"/>
      <ns0:c r="B26" s="58"/>
      <ns0:c r="C26" s="59"/>
      <ns0:c r="D26" s="59"/>
      <ns0:c r="E26" s="60"/>
      <ns0:c r="F26" s="61"/>
      <ns0:c r="G26" s="59"/>
      <ns0:c r="H26" s="59"/>
      <ns0:c r="I26" s="62"/>
      <ns0:c r="J26" s="62"/>
      <ns0:c r="K26" s="61"/>
      <ns0:c r="L26" s="61"/>
      <ns0:c r="M26" s="59"/>
    </ns0:row>
    <ns0:row r="27" ht="22" customHeight="1" s="36">
      <ns0:c r="A27" s="57"/>
      <ns0:c r="B27" s="58"/>
      <ns0:c r="C27" s="59"/>
      <ns0:c r="D27" s="59"/>
      <ns0:c r="E27" s="60"/>
      <ns0:c r="F27" s="61"/>
      <ns0:c r="G27" s="59"/>
      <ns0:c r="H27" s="59"/>
      <ns0:c r="I27" s="62"/>
      <ns0:c r="J27" s="62"/>
      <ns0:c r="K27" s="61"/>
      <ns0:c r="L27" s="61"/>
      <ns0:c r="M27" s="59"/>
    </ns0:row>
    <ns0:row r="28" ht="22" customHeight="1" s="36">
      <ns0:c r="A28" s="57"/>
      <ns0:c r="B28" s="58"/>
      <ns0:c r="C28" s="59"/>
      <ns0:c r="D28" s="59"/>
      <ns0:c r="E28" s="60"/>
      <ns0:c r="F28" s="61"/>
      <ns0:c r="G28" s="59"/>
      <ns0:c r="H28" s="59"/>
      <ns0:c r="I28" s="62"/>
      <ns0:c r="J28" s="62"/>
      <ns0:c r="K28" s="61"/>
      <ns0:c r="L28" s="61"/>
      <ns0:c r="M28" s="59"/>
    </ns0:row>
    <ns0:row r="29" ht="22" customHeight="1" s="36">
      <ns0:c r="A29" s="57"/>
      <ns0:c r="B29" s="58"/>
      <ns0:c r="C29" s="59"/>
      <ns0:c r="D29" s="59"/>
      <ns0:c r="E29" s="60"/>
      <ns0:c r="F29" s="61"/>
      <ns0:c r="G29" s="59"/>
      <ns0:c r="H29" s="59"/>
      <ns0:c r="I29" s="62"/>
      <ns0:c r="J29" s="62"/>
      <ns0:c r="K29" s="61"/>
      <ns0:c r="L29" s="61"/>
      <ns0:c r="M29" s="59"/>
    </ns0:row>
    <ns0:row r="30" ht="22" customHeight="1" s="36">
      <ns0:c r="A30" s="57"/>
      <ns0:c r="B30" s="58"/>
      <ns0:c r="C30" s="59"/>
      <ns0:c r="D30" s="59"/>
      <ns0:c r="E30" s="60"/>
      <ns0:c r="F30" s="61"/>
      <ns0:c r="G30" s="59"/>
      <ns0:c r="H30" s="59"/>
      <ns0:c r="I30" s="62"/>
      <ns0:c r="J30" s="62"/>
      <ns0:c r="K30" s="61"/>
      <ns0:c r="L30" s="61"/>
      <ns0:c r="M30" s="59"/>
    </ns0:row>
    <ns0:row r="31" ht="22" customHeight="1" s="36">
      <ns0:c r="A31" s="57"/>
      <ns0:c r="B31" s="58"/>
      <ns0:c r="C31" s="59"/>
      <ns0:c r="D31" s="59"/>
      <ns0:c r="E31" s="60"/>
      <ns0:c r="F31" s="61"/>
      <ns0:c r="G31" s="59"/>
      <ns0:c r="H31" s="59"/>
      <ns0:c r="I31" s="62"/>
      <ns0:c r="J31" s="62"/>
      <ns0:c r="K31" s="61"/>
      <ns0:c r="L31" s="61"/>
      <ns0:c r="M31" s="59"/>
    </ns0:row>
    <ns0:row r="32" ht="22" customHeight="1" s="36">
      <ns0:c r="A32" s="57"/>
      <ns0:c r="B32" s="58"/>
      <ns0:c r="C32" s="59"/>
      <ns0:c r="D32" s="59"/>
      <ns0:c r="E32" s="60"/>
      <ns0:c r="F32" s="61"/>
      <ns0:c r="G32" s="59"/>
      <ns0:c r="H32" s="59"/>
      <ns0:c r="I32" s="62"/>
      <ns0:c r="J32" s="62"/>
      <ns0:c r="K32" s="61"/>
      <ns0:c r="L32" s="61"/>
      <ns0:c r="M32" s="59"/>
    </ns0:row>
    <ns0:row r="33" ht="22" customHeight="1" s="36">
      <ns0:c r="A33" s="57"/>
      <ns0:c r="B33" s="58"/>
      <ns0:c r="C33" s="59"/>
      <ns0:c r="D33" s="59"/>
      <ns0:c r="E33" s="60"/>
      <ns0:c r="F33" s="61"/>
      <ns0:c r="G33" s="59"/>
      <ns0:c r="H33" s="59"/>
      <ns0:c r="I33" s="62"/>
      <ns0:c r="J33" s="62"/>
      <ns0:c r="K33" s="61"/>
      <ns0:c r="L33" s="61"/>
      <ns0:c r="M33" s="59"/>
    </ns0:row>
    <ns0:row r="34" ht="22" customHeight="1" s="36">
      <ns0:c r="A34" s="57"/>
      <ns0:c r="B34" s="58"/>
      <ns0:c r="C34" s="59"/>
      <ns0:c r="D34" s="59"/>
      <ns0:c r="E34" s="60"/>
      <ns0:c r="F34" s="61"/>
      <ns0:c r="G34" s="59"/>
      <ns0:c r="H34" s="59"/>
      <ns0:c r="I34" s="62"/>
      <ns0:c r="J34" s="62"/>
      <ns0:c r="K34" s="61"/>
      <ns0:c r="L34" s="61"/>
      <ns0:c r="M34" s="59"/>
    </ns0:row>
    <ns0:row r="35" ht="22" customHeight="1" s="36">
      <ns0:c r="A35" s="57"/>
      <ns0:c r="B35" s="58"/>
      <ns0:c r="C35" s="59"/>
      <ns0:c r="D35" s="59"/>
      <ns0:c r="E35" s="60"/>
      <ns0:c r="F35" s="61"/>
      <ns0:c r="G35" s="59"/>
      <ns0:c r="H35" s="59"/>
      <ns0:c r="I35" s="62"/>
      <ns0:c r="J35" s="62"/>
      <ns0:c r="K35" s="61"/>
      <ns0:c r="L35" s="61"/>
      <ns0:c r="M35" s="59"/>
    </ns0:row>
    <ns0:row r="36" ht="22" customHeight="1" s="36">
      <ns0:c r="A36" s="57"/>
      <ns0:c r="B36" s="58"/>
      <ns0:c r="C36" s="59"/>
      <ns0:c r="D36" s="59"/>
      <ns0:c r="E36" s="60"/>
      <ns0:c r="F36" s="61"/>
      <ns0:c r="G36" s="59"/>
      <ns0:c r="H36" s="59"/>
      <ns0:c r="I36" s="62"/>
      <ns0:c r="J36" s="62"/>
      <ns0:c r="K36" s="61"/>
      <ns0:c r="L36" s="61"/>
      <ns0:c r="M36" s="59"/>
    </ns0:row>
    <ns0:row r="37" ht="22" customHeight="1" s="36">
      <ns0:c r="A37" s="57"/>
      <ns0:c r="B37" s="58"/>
      <ns0:c r="C37" s="59"/>
      <ns0:c r="D37" s="59"/>
      <ns0:c r="E37" s="60"/>
      <ns0:c r="F37" s="61"/>
      <ns0:c r="G37" s="59"/>
      <ns0:c r="H37" s="59"/>
      <ns0:c r="I37" s="62"/>
      <ns0:c r="J37" s="62"/>
      <ns0:c r="K37" s="61"/>
      <ns0:c r="L37" s="61"/>
      <ns0:c r="M37" s="59"/>
    </ns0:row>
    <ns0:row r="38" ht="22" customHeight="1" s="36">
      <ns0:c r="A38" s="57"/>
      <ns0:c r="B38" s="58"/>
      <ns0:c r="C38" s="59"/>
      <ns0:c r="D38" s="59"/>
      <ns0:c r="E38" s="60"/>
      <ns0:c r="F38" s="61"/>
      <ns0:c r="G38" s="59"/>
      <ns0:c r="H38" s="59"/>
      <ns0:c r="I38" s="62"/>
      <ns0:c r="J38" s="62"/>
      <ns0:c r="K38" s="61"/>
      <ns0:c r="L38" s="61"/>
      <ns0:c r="M38" s="59"/>
    </ns0:row>
    <ns0:row r="39" ht="20.15" customHeight="1" s="36">
      <ns0:c r="A39" s="12"/>
      <ns0:c r="B39" s="18"/>
      <ns0:c r="C39" s="14"/>
      <ns0:c r="D39" s="13"/>
      <ns0:c r="E39" s="15"/>
      <ns0:c r="F39" s="13"/>
      <ns0:c r="G39" s="13"/>
      <ns0:c r="H39" s="14"/>
      <ns0:c r="I39" s="16"/>
      <ns0:c r="J39" s="16"/>
      <ns0:c r="K39" s="13"/>
      <ns0:c r="L39" s="13"/>
      <ns0:c r="M39" s="14"/>
    </ns0:row>
    <ns0:row r="40" ht="20.15" customHeight="1" s="36">
      <ns0:c r="A40" s="12"/>
      <ns0:c r="B40" s="18"/>
      <ns0:c r="C40" s="14"/>
      <ns0:c r="D40" s="13"/>
      <ns0:c r="E40" s="15"/>
      <ns0:c r="F40" s="13"/>
      <ns0:c r="G40" s="13"/>
      <ns0:c r="H40" s="14"/>
      <ns0:c r="I40" s="16"/>
      <ns0:c r="J40" s="16"/>
      <ns0:c r="K40" s="13"/>
      <ns0:c r="L40" s="13"/>
      <ns0:c r="M40" s="14"/>
    </ns0:row>
    <ns0:row r="41" ht="20.15" customHeight="1" s="36">
      <ns0:c r="A41" s="12"/>
      <ns0:c r="B41" s="18"/>
      <ns0:c r="C41" s="14"/>
      <ns0:c r="D41" s="13"/>
      <ns0:c r="E41" s="15"/>
      <ns0:c r="F41" s="13"/>
      <ns0:c r="G41" s="13"/>
      <ns0:c r="H41" s="14"/>
      <ns0:c r="I41" s="16"/>
      <ns0:c r="J41" s="16"/>
      <ns0:c r="K41" s="13"/>
      <ns0:c r="L41" s="13"/>
      <ns0:c r="M41" s="14"/>
    </ns0:row>
    <ns0:row r="42" ht="20.15" customHeight="1" s="36">
      <ns0:c r="A42" s="12"/>
      <ns0:c r="B42" s="18"/>
      <ns0:c r="C42" s="14"/>
      <ns0:c r="D42" s="13"/>
      <ns0:c r="E42" s="15"/>
      <ns0:c r="F42" s="13"/>
      <ns0:c r="G42" s="13"/>
      <ns0:c r="H42" s="14"/>
      <ns0:c r="I42" s="16"/>
      <ns0:c r="J42" s="16"/>
      <ns0:c r="K42" s="13"/>
      <ns0:c r="L42" s="13"/>
      <ns0:c r="M42" s="14"/>
    </ns0:row>
    <ns0:row r="43" ht="20.15" customHeight="1" s="36">
      <ns0:c r="A43" s="12"/>
      <ns0:c r="B43" s="18"/>
      <ns0:c r="C43" s="14"/>
      <ns0:c r="D43" s="13"/>
      <ns0:c r="E43" s="15"/>
      <ns0:c r="F43" s="13"/>
      <ns0:c r="G43" s="13"/>
      <ns0:c r="H43" s="14"/>
      <ns0:c r="I43" s="16"/>
      <ns0:c r="J43" s="16"/>
      <ns0:c r="K43" s="13"/>
      <ns0:c r="L43" s="13"/>
      <ns0:c r="M43" s="14"/>
    </ns0:row>
    <ns0:row r="44" ht="20.15" customHeight="1" s="36">
      <ns0:c r="A44" s="12"/>
      <ns0:c r="B44" s="18"/>
      <ns0:c r="C44" s="14"/>
      <ns0:c r="D44" s="13"/>
      <ns0:c r="E44" s="15"/>
      <ns0:c r="F44" s="13"/>
      <ns0:c r="G44" s="13"/>
      <ns0:c r="H44" s="14"/>
      <ns0:c r="I44" s="16"/>
      <ns0:c r="J44" s="16"/>
      <ns0:c r="K44" s="13"/>
      <ns0:c r="L44" s="13"/>
      <ns0:c r="M44" s="14"/>
    </ns0:row>
    <ns0:row r="45" ht="20.15" customHeight="1" s="36">
      <ns0:c r="A45" s="12"/>
      <ns0:c r="B45" s="18"/>
      <ns0:c r="C45" s="14"/>
      <ns0:c r="D45" s="13"/>
      <ns0:c r="E45" s="15"/>
      <ns0:c r="F45" s="13"/>
      <ns0:c r="G45" s="13"/>
      <ns0:c r="H45" s="14"/>
      <ns0:c r="I45" s="16"/>
      <ns0:c r="J45" s="16"/>
      <ns0:c r="K45" s="13"/>
      <ns0:c r="L45" s="13"/>
      <ns0:c r="M45" s="14"/>
    </ns0:row>
    <ns0:row r="46" ht="20.15" customHeight="1" s="36">
      <ns0:c r="A46" s="12"/>
      <ns0:c r="B46" s="18"/>
      <ns0:c r="C46" s="14"/>
      <ns0:c r="D46" s="13"/>
      <ns0:c r="E46" s="15"/>
      <ns0:c r="F46" s="13"/>
      <ns0:c r="G46" s="13"/>
      <ns0:c r="H46" s="14"/>
      <ns0:c r="I46" s="16"/>
      <ns0:c r="J46" s="16"/>
      <ns0:c r="K46" s="13"/>
      <ns0:c r="L46" s="13"/>
      <ns0:c r="M46" s="14"/>
    </ns0:row>
    <ns0:row r="47" ht="20.15" customHeight="1" s="36">
      <ns0:c r="A47" s="12"/>
      <ns0:c r="B47" s="18"/>
      <ns0:c r="C47" s="14"/>
      <ns0:c r="D47" s="13"/>
      <ns0:c r="E47" s="15"/>
      <ns0:c r="F47" s="13"/>
      <ns0:c r="G47" s="13"/>
      <ns0:c r="H47" s="14"/>
      <ns0:c r="I47" s="16"/>
      <ns0:c r="J47" s="16"/>
      <ns0:c r="K47" s="13"/>
      <ns0:c r="L47" s="13"/>
      <ns0:c r="M47" s="14"/>
    </ns0:row>
    <ns0:row r="48" ht="20.15" customHeight="1" s="36">
      <ns0:c r="A48" s="12"/>
      <ns0:c r="B48" s="18"/>
      <ns0:c r="C48" s="14"/>
      <ns0:c r="D48" s="13"/>
      <ns0:c r="E48" s="15"/>
      <ns0:c r="F48" s="13"/>
      <ns0:c r="G48" s="13"/>
      <ns0:c r="H48" s="14"/>
      <ns0:c r="I48" s="16"/>
      <ns0:c r="J48" s="16"/>
      <ns0:c r="K48" s="13"/>
      <ns0:c r="L48" s="13"/>
      <ns0:c r="M48" s="14"/>
    </ns0:row>
    <ns0:row r="49" ht="20.15" customHeight="1" s="36">
      <ns0:c r="A49" s="12"/>
      <ns0:c r="B49" s="18"/>
      <ns0:c r="C49" s="14"/>
      <ns0:c r="D49" s="13"/>
      <ns0:c r="E49" s="15"/>
      <ns0:c r="F49" s="13"/>
      <ns0:c r="G49" s="13"/>
      <ns0:c r="H49" s="14"/>
      <ns0:c r="I49" s="16"/>
      <ns0:c r="J49" s="16"/>
      <ns0:c r="K49" s="13"/>
      <ns0:c r="L49" s="13"/>
      <ns0:c r="M49" s="14"/>
    </ns0:row>
    <ns0:row r="50" ht="20.15" customHeight="1" s="36">
      <ns0:c r="A50" s="12"/>
      <ns0:c r="B50" s="18"/>
      <ns0:c r="C50" s="14"/>
      <ns0:c r="D50" s="13"/>
      <ns0:c r="E50" s="15"/>
      <ns0:c r="F50" s="13"/>
      <ns0:c r="G50" s="13"/>
      <ns0:c r="H50" s="14"/>
      <ns0:c r="I50" s="16"/>
      <ns0:c r="J50" s="16"/>
      <ns0:c r="K50" s="13"/>
      <ns0:c r="L50" s="13"/>
      <ns0:c r="M50" s="14"/>
    </ns0:row>
    <ns0:row r="51" ht="20.15" customHeight="1" s="36">
      <ns0:c r="A51" s="12"/>
      <ns0:c r="B51" s="18"/>
      <ns0:c r="C51" s="14"/>
      <ns0:c r="D51" s="13"/>
      <ns0:c r="E51" s="15"/>
      <ns0:c r="F51" s="13"/>
      <ns0:c r="G51" s="13"/>
      <ns0:c r="H51" s="14"/>
      <ns0:c r="I51" s="16"/>
      <ns0:c r="J51" s="16"/>
      <ns0:c r="K51" s="13"/>
      <ns0:c r="L51" s="13"/>
      <ns0:c r="M51" s="14"/>
    </ns0:row>
    <ns0:row r="52" ht="20.15" customHeight="1" s="36">
      <ns0:c r="A52" s="12"/>
      <ns0:c r="B52" s="18"/>
      <ns0:c r="C52" s="14"/>
      <ns0:c r="D52" s="13"/>
      <ns0:c r="E52" s="15"/>
      <ns0:c r="F52" s="13"/>
      <ns0:c r="G52" s="13"/>
      <ns0:c r="H52" s="14"/>
      <ns0:c r="I52" s="16"/>
      <ns0:c r="J52" s="16"/>
      <ns0:c r="K52" s="13"/>
      <ns0:c r="L52" s="13"/>
      <ns0:c r="M52" s="14"/>
    </ns0:row>
    <ns0:row r="53" ht="20.15" customHeight="1" s="36">
      <ns0:c r="A53" s="12"/>
      <ns0:c r="B53" s="18"/>
      <ns0:c r="C53" s="14"/>
      <ns0:c r="D53" s="13"/>
      <ns0:c r="E53" s="15"/>
      <ns0:c r="F53" s="13"/>
      <ns0:c r="G53" s="13"/>
      <ns0:c r="H53" s="14"/>
      <ns0:c r="I53" s="16"/>
      <ns0:c r="J53" s="16"/>
      <ns0:c r="K53" s="13"/>
      <ns0:c r="L53" s="13"/>
      <ns0:c r="M53" s="14"/>
    </ns0:row>
    <ns0:row r="54" ht="20.15" customHeight="1" s="36">
      <ns0:c r="A54" s="12"/>
      <ns0:c r="B54" s="18"/>
      <ns0:c r="C54" s="14"/>
      <ns0:c r="D54" s="13"/>
      <ns0:c r="E54" s="15"/>
      <ns0:c r="F54" s="13"/>
      <ns0:c r="G54" s="13"/>
      <ns0:c r="H54" s="14"/>
      <ns0:c r="I54" s="16"/>
      <ns0:c r="J54" s="16"/>
      <ns0:c r="K54" s="13"/>
      <ns0:c r="L54" s="13"/>
      <ns0:c r="M54" s="14"/>
    </ns0:row>
    <ns0:row r="55" ht="20.15" customHeight="1" s="36">
      <ns0:c r="A55" s="12"/>
      <ns0:c r="B55" s="18"/>
      <ns0:c r="C55" s="14"/>
      <ns0:c r="D55" s="13"/>
      <ns0:c r="E55" s="15"/>
      <ns0:c r="F55" s="13"/>
      <ns0:c r="G55" s="13"/>
      <ns0:c r="H55" s="14"/>
      <ns0:c r="I55" s="16"/>
      <ns0:c r="J55" s="16"/>
      <ns0:c r="K55" s="13"/>
      <ns0:c r="L55" s="13"/>
      <ns0:c r="M55" s="14"/>
    </ns0:row>
    <ns0:row r="56" ht="20.15" customHeight="1" s="36">
      <ns0:c r="A56" s="12"/>
      <ns0:c r="B56" s="18"/>
      <ns0:c r="C56" s="14"/>
      <ns0:c r="D56" s="13"/>
      <ns0:c r="E56" s="15"/>
      <ns0:c r="F56" s="13"/>
      <ns0:c r="G56" s="13"/>
      <ns0:c r="H56" s="14"/>
      <ns0:c r="I56" s="16"/>
      <ns0:c r="J56" s="16"/>
      <ns0:c r="K56" s="13"/>
      <ns0:c r="L56" s="13"/>
      <ns0:c r="M56" s="14"/>
    </ns0:row>
    <ns0:row r="57" ht="20.15" customHeight="1" s="36">
      <ns0:c r="A57" s="12"/>
      <ns0:c r="B57" s="18"/>
      <ns0:c r="C57" s="14"/>
      <ns0:c r="D57" s="13"/>
      <ns0:c r="E57" s="15"/>
      <ns0:c r="F57" s="13"/>
      <ns0:c r="G57" s="13"/>
      <ns0:c r="H57" s="14"/>
      <ns0:c r="I57" s="16"/>
      <ns0:c r="J57" s="16"/>
      <ns0:c r="K57" s="13"/>
      <ns0:c r="L57" s="13"/>
      <ns0:c r="M57" s="14"/>
    </ns0:row>
    <ns0:row r="58" ht="20.15" customHeight="1" s="36">
      <ns0:c r="A58" s="12"/>
      <ns0:c r="B58" s="18"/>
      <ns0:c r="C58" s="14"/>
      <ns0:c r="D58" s="13"/>
      <ns0:c r="E58" s="15"/>
      <ns0:c r="F58" s="13"/>
      <ns0:c r="G58" s="13"/>
      <ns0:c r="H58" s="14"/>
      <ns0:c r="I58" s="16"/>
      <ns0:c r="J58" s="16"/>
      <ns0:c r="K58" s="13"/>
      <ns0:c r="L58" s="13"/>
      <ns0:c r="M58" s="14"/>
    </ns0:row>
    <ns0:row r="59" ht="20.15" customHeight="1" s="36">
      <ns0:c r="A59" s="12"/>
      <ns0:c r="B59" s="18"/>
      <ns0:c r="C59" s="14"/>
      <ns0:c r="D59" s="13"/>
      <ns0:c r="E59" s="15"/>
      <ns0:c r="F59" s="13"/>
      <ns0:c r="G59" s="13"/>
      <ns0:c r="H59" s="14"/>
      <ns0:c r="I59" s="16"/>
      <ns0:c r="J59" s="16"/>
      <ns0:c r="K59" s="13"/>
      <ns0:c r="L59" s="13"/>
      <ns0:c r="M59" s="14"/>
    </ns0:row>
    <ns0:row r="60" ht="20.15" customHeight="1" s="36">
      <ns0:c r="A60" s="12"/>
      <ns0:c r="B60" s="18"/>
      <ns0:c r="C60" s="14"/>
      <ns0:c r="D60" s="13"/>
      <ns0:c r="E60" s="15"/>
      <ns0:c r="F60" s="13"/>
      <ns0:c r="G60" s="13"/>
      <ns0:c r="H60" s="14"/>
      <ns0:c r="I60" s="16"/>
      <ns0:c r="J60" s="16"/>
      <ns0:c r="K60" s="13"/>
      <ns0:c r="L60" s="13"/>
      <ns0:c r="M60" s="14"/>
    </ns0:row>
    <ns0:row r="61" ht="20.15" customHeight="1" s="36">
      <ns0:c r="A61" s="12"/>
      <ns0:c r="B61" s="18"/>
      <ns0:c r="C61" s="14"/>
      <ns0:c r="D61" s="13"/>
      <ns0:c r="E61" s="15"/>
      <ns0:c r="F61" s="13"/>
      <ns0:c r="G61" s="13"/>
      <ns0:c r="H61" s="14"/>
      <ns0:c r="I61" s="16"/>
      <ns0:c r="J61" s="16"/>
      <ns0:c r="K61" s="13"/>
      <ns0:c r="L61" s="13"/>
      <ns0:c r="M61" s="14"/>
    </ns0:row>
    <ns0:row r="62" ht="20.15" customHeight="1" s="36">
      <ns0:c r="A62" s="12"/>
      <ns0:c r="B62" s="18"/>
      <ns0:c r="C62" s="14"/>
      <ns0:c r="D62" s="13"/>
      <ns0:c r="E62" s="15"/>
      <ns0:c r="F62" s="13"/>
      <ns0:c r="G62" s="13"/>
      <ns0:c r="H62" s="14"/>
      <ns0:c r="I62" s="16"/>
      <ns0:c r="J62" s="16"/>
      <ns0:c r="K62" s="13"/>
      <ns0:c r="L62" s="13"/>
      <ns0:c r="M62" s="14"/>
    </ns0:row>
    <ns0:row r="63" ht="20.15" customHeight="1" s="36">
      <ns0:c r="A63" s="12"/>
      <ns0:c r="B63" s="18"/>
      <ns0:c r="C63" s="14"/>
      <ns0:c r="D63" s="13"/>
      <ns0:c r="E63" s="15"/>
      <ns0:c r="F63" s="13"/>
      <ns0:c r="G63" s="13"/>
      <ns0:c r="H63" s="14"/>
      <ns0:c r="I63" s="16"/>
      <ns0:c r="J63" s="16"/>
      <ns0:c r="K63" s="13"/>
      <ns0:c r="L63" s="13"/>
      <ns0:c r="M63" s="14"/>
    </ns0:row>
    <ns0:row r="64" ht="20.15" customHeight="1" s="36">
      <ns0:c r="A64" s="12"/>
      <ns0:c r="B64" s="18"/>
      <ns0:c r="C64" s="14"/>
      <ns0:c r="D64" s="13"/>
      <ns0:c r="E64" s="15"/>
      <ns0:c r="F64" s="13"/>
      <ns0:c r="G64" s="13"/>
      <ns0:c r="H64" s="14"/>
      <ns0:c r="I64" s="16"/>
      <ns0:c r="J64" s="16"/>
      <ns0:c r="K64" s="13"/>
      <ns0:c r="L64" s="13"/>
      <ns0:c r="M64" s="14"/>
    </ns0:row>
    <ns0:row r="65" ht="20.15" customHeight="1" s="36">
      <ns0:c r="A65" s="12"/>
      <ns0:c r="B65" s="18"/>
      <ns0:c r="C65" s="14"/>
      <ns0:c r="D65" s="13"/>
      <ns0:c r="E65" s="15"/>
      <ns0:c r="F65" s="13"/>
      <ns0:c r="G65" s="13"/>
      <ns0:c r="H65" s="14"/>
      <ns0:c r="I65" s="16"/>
      <ns0:c r="J65" s="16"/>
      <ns0:c r="K65" s="13"/>
      <ns0:c r="L65" s="13"/>
      <ns0:c r="M65" s="14"/>
    </ns0:row>
    <ns0:row r="66" ht="20.15" customHeight="1" s="36">
      <ns0:c r="A66" s="12"/>
      <ns0:c r="B66" s="18"/>
      <ns0:c r="C66" s="14"/>
      <ns0:c r="D66" s="13"/>
      <ns0:c r="E66" s="15"/>
      <ns0:c r="F66" s="13"/>
      <ns0:c r="G66" s="13"/>
      <ns0:c r="H66" s="14"/>
      <ns0:c r="I66" s="16"/>
      <ns0:c r="J66" s="16"/>
      <ns0:c r="K66" s="13"/>
      <ns0:c r="L66" s="13"/>
      <ns0:c r="M66" s="14"/>
    </ns0:row>
    <ns0:row r="67" ht="20.15" customHeight="1" s="36">
      <ns0:c r="A67" s="12"/>
      <ns0:c r="B67" s="18"/>
      <ns0:c r="C67" s="14"/>
      <ns0:c r="D67" s="13"/>
      <ns0:c r="E67" s="15"/>
      <ns0:c r="F67" s="13"/>
      <ns0:c r="G67" s="13"/>
      <ns0:c r="H67" s="14"/>
      <ns0:c r="I67" s="16"/>
      <ns0:c r="J67" s="16"/>
      <ns0:c r="K67" s="13"/>
      <ns0:c r="L67" s="13"/>
      <ns0:c r="M67" s="14"/>
    </ns0:row>
    <ns0:row r="68" ht="20.15" customHeight="1" s="36">
      <ns0:c r="A68" s="12"/>
      <ns0:c r="B68" s="18"/>
      <ns0:c r="C68" s="14"/>
      <ns0:c r="D68" s="13"/>
      <ns0:c r="E68" s="15"/>
      <ns0:c r="F68" s="13"/>
      <ns0:c r="G68" s="13"/>
      <ns0:c r="H68" s="14"/>
      <ns0:c r="I68" s="16"/>
      <ns0:c r="J68" s="16"/>
      <ns0:c r="K68" s="13"/>
      <ns0:c r="L68" s="13"/>
      <ns0:c r="M68" s="14"/>
    </ns0:row>
    <ns0:row r="69" ht="20.15" customHeight="1" s="36">
      <ns0:c r="A69" s="12"/>
      <ns0:c r="B69" s="18"/>
      <ns0:c r="C69" s="14"/>
      <ns0:c r="D69" s="13"/>
      <ns0:c r="E69" s="15"/>
      <ns0:c r="F69" s="13"/>
      <ns0:c r="G69" s="13"/>
      <ns0:c r="H69" s="14"/>
      <ns0:c r="I69" s="16"/>
      <ns0:c r="J69" s="16"/>
      <ns0:c r="K69" s="13"/>
      <ns0:c r="L69" s="13"/>
      <ns0:c r="M69" s="14"/>
    </ns0:row>
    <ns0:row r="70" ht="20.15" customHeight="1" s="36">
      <ns0:c r="A70" s="12"/>
      <ns0:c r="B70" s="18"/>
      <ns0:c r="C70" s="14"/>
      <ns0:c r="D70" s="13"/>
      <ns0:c r="E70" s="15"/>
      <ns0:c r="F70" s="13"/>
      <ns0:c r="G70" s="13"/>
      <ns0:c r="H70" s="14"/>
      <ns0:c r="I70" s="16"/>
      <ns0:c r="J70" s="16"/>
      <ns0:c r="K70" s="13"/>
      <ns0:c r="L70" s="13"/>
      <ns0:c r="M70" s="14"/>
    </ns0:row>
    <ns0:row r="71" ht="20.15" customHeight="1" s="36">
      <ns0:c r="A71" s="12"/>
      <ns0:c r="B71" s="18"/>
      <ns0:c r="C71" s="14"/>
      <ns0:c r="D71" s="13"/>
      <ns0:c r="E71" s="15"/>
      <ns0:c r="F71" s="13"/>
      <ns0:c r="G71" s="13"/>
      <ns0:c r="H71" s="14"/>
      <ns0:c r="I71" s="16"/>
      <ns0:c r="J71" s="16"/>
      <ns0:c r="K71" s="13"/>
      <ns0:c r="L71" s="13"/>
      <ns0:c r="M71" s="14"/>
    </ns0:row>
    <ns0:row r="72" ht="20.15" customHeight="1" s="36">
      <ns0:c r="A72" s="12"/>
      <ns0:c r="B72" s="18"/>
      <ns0:c r="C72" s="14"/>
      <ns0:c r="D72" s="13"/>
      <ns0:c r="E72" s="15"/>
      <ns0:c r="F72" s="13"/>
      <ns0:c r="G72" s="13"/>
      <ns0:c r="H72" s="14"/>
      <ns0:c r="I72" s="16"/>
      <ns0:c r="J72" s="16"/>
      <ns0:c r="K72" s="13"/>
      <ns0:c r="L72" s="13"/>
      <ns0:c r="M72" s="14"/>
    </ns0:row>
    <ns0:row r="73" ht="20.15" customHeight="1" s="36">
      <ns0:c r="A73" s="12"/>
      <ns0:c r="B73" s="18"/>
      <ns0:c r="C73" s="14"/>
      <ns0:c r="D73" s="13"/>
      <ns0:c r="E73" s="15"/>
      <ns0:c r="F73" s="13"/>
      <ns0:c r="G73" s="13"/>
      <ns0:c r="H73" s="14"/>
      <ns0:c r="I73" s="16"/>
      <ns0:c r="J73" s="16"/>
      <ns0:c r="K73" s="13"/>
      <ns0:c r="L73" s="13"/>
      <ns0:c r="M73" s="14"/>
    </ns0:row>
    <ns0:row r="74" ht="20.15" customHeight="1" s="36">
      <ns0:c r="A74" s="12"/>
      <ns0:c r="B74" s="18"/>
      <ns0:c r="C74" s="14"/>
      <ns0:c r="D74" s="13"/>
      <ns0:c r="E74" s="15"/>
      <ns0:c r="F74" s="13"/>
      <ns0:c r="G74" s="13"/>
      <ns0:c r="H74" s="14"/>
      <ns0:c r="I74" s="16"/>
      <ns0:c r="J74" s="16"/>
      <ns0:c r="K74" s="13"/>
      <ns0:c r="L74" s="13"/>
      <ns0:c r="M74" s="14"/>
    </ns0:row>
    <ns0:row r="75" ht="20.15" customHeight="1" s="36">
      <ns0:c r="A75" s="12"/>
      <ns0:c r="B75" s="18"/>
      <ns0:c r="C75" s="14"/>
      <ns0:c r="D75" s="13"/>
      <ns0:c r="E75" s="15"/>
      <ns0:c r="F75" s="13"/>
      <ns0:c r="G75" s="13"/>
      <ns0:c r="H75" s="14"/>
      <ns0:c r="I75" s="16"/>
      <ns0:c r="J75" s="16"/>
      <ns0:c r="K75" s="13"/>
      <ns0:c r="L75" s="13"/>
      <ns0:c r="M75" s="14"/>
    </ns0:row>
    <ns0:row r="76" ht="20.15" customHeight="1" s="36">
      <ns0:c r="A76" s="12"/>
      <ns0:c r="B76" s="18"/>
      <ns0:c r="C76" s="14"/>
      <ns0:c r="D76" s="13"/>
      <ns0:c r="E76" s="15"/>
      <ns0:c r="F76" s="13"/>
      <ns0:c r="G76" s="13"/>
      <ns0:c r="H76" s="14"/>
      <ns0:c r="I76" s="16"/>
      <ns0:c r="J76" s="16"/>
      <ns0:c r="K76" s="13"/>
      <ns0:c r="L76" s="13"/>
      <ns0:c r="M76" s="14"/>
    </ns0:row>
    <ns0:row r="77" ht="20.15" customHeight="1" s="36">
      <ns0:c r="A77" s="12"/>
      <ns0:c r="B77" s="18"/>
      <ns0:c r="C77" s="14"/>
      <ns0:c r="D77" s="13"/>
      <ns0:c r="E77" s="15"/>
      <ns0:c r="F77" s="13"/>
      <ns0:c r="G77" s="13"/>
      <ns0:c r="H77" s="14"/>
      <ns0:c r="I77" s="16"/>
      <ns0:c r="J77" s="16"/>
      <ns0:c r="K77" s="13"/>
      <ns0:c r="L77" s="13"/>
      <ns0:c r="M77" s="14"/>
    </ns0:row>
    <ns0:row r="78" ht="20.15" customHeight="1" s="36">
      <ns0:c r="A78" s="12"/>
      <ns0:c r="B78" s="18"/>
      <ns0:c r="C78" s="14"/>
      <ns0:c r="D78" s="13"/>
      <ns0:c r="E78" s="15"/>
      <ns0:c r="F78" s="13"/>
      <ns0:c r="G78" s="13"/>
      <ns0:c r="H78" s="14"/>
      <ns0:c r="I78" s="16"/>
      <ns0:c r="J78" s="16"/>
      <ns0:c r="K78" s="13"/>
      <ns0:c r="L78" s="13"/>
      <ns0:c r="M78" s="14"/>
    </ns0:row>
    <ns0:row r="79" ht="20.15" customHeight="1" s="36">
      <ns0:c r="A79" s="12"/>
      <ns0:c r="B79" s="18"/>
      <ns0:c r="C79" s="14"/>
      <ns0:c r="D79" s="13"/>
      <ns0:c r="E79" s="15"/>
      <ns0:c r="F79" s="13"/>
      <ns0:c r="G79" s="13"/>
      <ns0:c r="H79" s="14"/>
      <ns0:c r="I79" s="16"/>
      <ns0:c r="J79" s="16"/>
      <ns0:c r="K79" s="13"/>
      <ns0:c r="L79" s="13"/>
      <ns0:c r="M79" s="14"/>
    </ns0:row>
    <ns0:row r="80" ht="20.15" customHeight="1" s="36">
      <ns0:c r="A80" s="12"/>
      <ns0:c r="B80" s="18"/>
      <ns0:c r="C80" s="14"/>
      <ns0:c r="D80" s="13"/>
      <ns0:c r="E80" s="15"/>
      <ns0:c r="F80" s="13"/>
      <ns0:c r="G80" s="13"/>
      <ns0:c r="H80" s="14"/>
      <ns0:c r="I80" s="16"/>
      <ns0:c r="J80" s="16"/>
      <ns0:c r="K80" s="13"/>
      <ns0:c r="L80" s="13"/>
      <ns0:c r="M80" s="14"/>
    </ns0:row>
    <ns0:row r="81" ht="20.15" customHeight="1" s="36">
      <ns0:c r="A81" s="12"/>
      <ns0:c r="B81" s="18"/>
      <ns0:c r="C81" s="14"/>
      <ns0:c r="D81" s="13"/>
      <ns0:c r="E81" s="15"/>
      <ns0:c r="F81" s="13"/>
      <ns0:c r="G81" s="13"/>
      <ns0:c r="H81" s="14"/>
      <ns0:c r="I81" s="16"/>
      <ns0:c r="J81" s="16"/>
      <ns0:c r="K81" s="13"/>
      <ns0:c r="L81" s="13"/>
      <ns0:c r="M81" s="14"/>
    </ns0:row>
    <ns0:row r="82" ht="20.15" customHeight="1" s="36">
      <ns0:c r="A82" s="12"/>
      <ns0:c r="B82" s="18"/>
      <ns0:c r="C82" s="14"/>
      <ns0:c r="D82" s="13"/>
      <ns0:c r="E82" s="15"/>
      <ns0:c r="F82" s="13"/>
      <ns0:c r="G82" s="13"/>
      <ns0:c r="H82" s="14"/>
      <ns0:c r="I82" s="16"/>
      <ns0:c r="J82" s="16"/>
      <ns0:c r="K82" s="13"/>
      <ns0:c r="L82" s="13"/>
      <ns0:c r="M82" s="14"/>
    </ns0:row>
    <ns0:row r="83" ht="20.15" customHeight="1" s="36">
      <ns0:c r="A83" s="12"/>
      <ns0:c r="B83" s="18"/>
      <ns0:c r="C83" s="14"/>
      <ns0:c r="D83" s="13"/>
      <ns0:c r="E83" s="15"/>
      <ns0:c r="F83" s="13"/>
      <ns0:c r="G83" s="13"/>
      <ns0:c r="H83" s="14"/>
      <ns0:c r="I83" s="16"/>
      <ns0:c r="J83" s="16"/>
      <ns0:c r="K83" s="13"/>
      <ns0:c r="L83" s="13"/>
      <ns0:c r="M83" s="14"/>
    </ns0:row>
    <ns0:row r="84" ht="20.15" customHeight="1" s="36">
      <ns0:c r="A84" s="12"/>
      <ns0:c r="B84" s="18"/>
      <ns0:c r="C84" s="14"/>
      <ns0:c r="D84" s="13"/>
      <ns0:c r="E84" s="15"/>
      <ns0:c r="F84" s="13"/>
      <ns0:c r="G84" s="13"/>
      <ns0:c r="H84" s="14"/>
      <ns0:c r="I84" s="16"/>
      <ns0:c r="J84" s="16"/>
      <ns0:c r="K84" s="13"/>
      <ns0:c r="L84" s="13"/>
      <ns0:c r="M84" s="14"/>
    </ns0:row>
    <ns0:row r="85" ht="20.15" customHeight="1" s="36">
      <ns0:c r="A85" s="12"/>
      <ns0:c r="B85" s="18"/>
      <ns0:c r="C85" s="14"/>
      <ns0:c r="D85" s="13"/>
      <ns0:c r="E85" s="15"/>
      <ns0:c r="F85" s="13"/>
      <ns0:c r="G85" s="13"/>
      <ns0:c r="H85" s="14"/>
      <ns0:c r="I85" s="16"/>
      <ns0:c r="J85" s="16"/>
      <ns0:c r="K85" s="13"/>
      <ns0:c r="L85" s="13"/>
      <ns0:c r="M85" s="14"/>
    </ns0:row>
    <ns0:row r="86" ht="20.15" customHeight="1" s="36">
      <ns0:c r="A86" s="12"/>
      <ns0:c r="B86" s="18"/>
      <ns0:c r="C86" s="14"/>
      <ns0:c r="D86" s="13"/>
      <ns0:c r="E86" s="15"/>
      <ns0:c r="F86" s="13"/>
      <ns0:c r="G86" s="13"/>
      <ns0:c r="H86" s="14"/>
      <ns0:c r="I86" s="16"/>
      <ns0:c r="J86" s="16"/>
      <ns0:c r="K86" s="13"/>
      <ns0:c r="L86" s="13"/>
      <ns0:c r="M86" s="14"/>
    </ns0:row>
    <ns0:row r="87" ht="20.15" customHeight="1" s="36">
      <ns0:c r="A87" s="12"/>
      <ns0:c r="B87" s="18"/>
      <ns0:c r="C87" s="14"/>
      <ns0:c r="D87" s="13"/>
      <ns0:c r="E87" s="15"/>
      <ns0:c r="F87" s="13"/>
      <ns0:c r="G87" s="13"/>
      <ns0:c r="H87" s="14"/>
      <ns0:c r="I87" s="16"/>
      <ns0:c r="J87" s="16"/>
      <ns0:c r="K87" s="13"/>
      <ns0:c r="L87" s="13"/>
      <ns0:c r="M87" s="14"/>
    </ns0:row>
    <ns0:row r="88" ht="20.15" customHeight="1" s="36">
      <ns0:c r="A88" s="12"/>
      <ns0:c r="B88" s="18"/>
      <ns0:c r="C88" s="14"/>
      <ns0:c r="D88" s="13"/>
      <ns0:c r="E88" s="15"/>
      <ns0:c r="F88" s="13"/>
      <ns0:c r="G88" s="13"/>
      <ns0:c r="H88" s="14"/>
      <ns0:c r="I88" s="16"/>
      <ns0:c r="J88" s="16"/>
      <ns0:c r="K88" s="13"/>
      <ns0:c r="L88" s="13"/>
      <ns0:c r="M88" s="14"/>
    </ns0:row>
    <ns0:row r="89" ht="20.15" customHeight="1" s="36">
      <ns0:c r="A89" s="12"/>
      <ns0:c r="B89" s="18"/>
      <ns0:c r="C89" s="14"/>
      <ns0:c r="D89" s="13"/>
      <ns0:c r="E89" s="15"/>
      <ns0:c r="F89" s="13"/>
      <ns0:c r="G89" s="13"/>
      <ns0:c r="H89" s="14"/>
      <ns0:c r="I89" s="16"/>
      <ns0:c r="J89" s="16"/>
      <ns0:c r="K89" s="13"/>
      <ns0:c r="L89" s="13"/>
      <ns0:c r="M89" s="14"/>
    </ns0:row>
    <ns0:row r="90" ht="20.15" customHeight="1" s="36">
      <ns0:c r="A90" s="12"/>
      <ns0:c r="B90" s="18"/>
      <ns0:c r="C90" s="14"/>
      <ns0:c r="D90" s="13"/>
      <ns0:c r="E90" s="15"/>
      <ns0:c r="F90" s="13"/>
      <ns0:c r="G90" s="13"/>
      <ns0:c r="H90" s="14"/>
      <ns0:c r="I90" s="16"/>
      <ns0:c r="J90" s="16"/>
      <ns0:c r="K90" s="13"/>
      <ns0:c r="L90" s="13"/>
      <ns0:c r="M90" s="14"/>
    </ns0:row>
    <ns0:row r="91" ht="20.15" customHeight="1" s="36">
      <ns0:c r="A91" s="12"/>
      <ns0:c r="B91" s="18"/>
      <ns0:c r="C91" s="14"/>
      <ns0:c r="D91" s="13"/>
      <ns0:c r="E91" s="15"/>
      <ns0:c r="F91" s="13"/>
      <ns0:c r="G91" s="13"/>
      <ns0:c r="H91" s="14"/>
      <ns0:c r="I91" s="16"/>
      <ns0:c r="J91" s="16"/>
      <ns0:c r="K91" s="13"/>
      <ns0:c r="L91" s="13"/>
      <ns0:c r="M91" s="14"/>
    </ns0:row>
    <ns0:row r="92" ht="20.15" customHeight="1" s="36">
      <ns0:c r="A92" s="12"/>
      <ns0:c r="B92" s="18"/>
      <ns0:c r="C92" s="14"/>
      <ns0:c r="D92" s="13"/>
      <ns0:c r="E92" s="15"/>
      <ns0:c r="F92" s="13"/>
      <ns0:c r="G92" s="13"/>
      <ns0:c r="H92" s="14"/>
      <ns0:c r="I92" s="16"/>
      <ns0:c r="J92" s="16"/>
      <ns0:c r="K92" s="13"/>
      <ns0:c r="L92" s="13"/>
      <ns0:c r="M92" s="14"/>
    </ns0:row>
    <ns0:row r="93" ht="20.15" customHeight="1" s="36">
      <ns0:c r="A93" s="12"/>
      <ns0:c r="B93" s="18"/>
      <ns0:c r="C93" s="14"/>
      <ns0:c r="D93" s="13"/>
      <ns0:c r="E93" s="15"/>
      <ns0:c r="F93" s="13"/>
      <ns0:c r="G93" s="13"/>
      <ns0:c r="H93" s="14"/>
      <ns0:c r="I93" s="16"/>
      <ns0:c r="J93" s="16"/>
      <ns0:c r="K93" s="13"/>
      <ns0:c r="L93" s="13"/>
      <ns0:c r="M93" s="14"/>
    </ns0:row>
    <ns0:row r="94" ht="20.15" customHeight="1" s="36">
      <ns0:c r="A94" s="12"/>
      <ns0:c r="B94" s="18"/>
      <ns0:c r="C94" s="14"/>
      <ns0:c r="D94" s="13"/>
      <ns0:c r="E94" s="15"/>
      <ns0:c r="F94" s="13"/>
      <ns0:c r="G94" s="13"/>
      <ns0:c r="H94" s="14"/>
      <ns0:c r="I94" s="16"/>
      <ns0:c r="J94" s="16"/>
      <ns0:c r="K94" s="13"/>
      <ns0:c r="L94" s="13"/>
      <ns0:c r="M94" s="14"/>
    </ns0:row>
    <ns0:row r="95" ht="20.15" customHeight="1" s="36">
      <ns0:c r="A95" s="12"/>
      <ns0:c r="B95" s="18"/>
      <ns0:c r="C95" s="14"/>
      <ns0:c r="D95" s="13"/>
      <ns0:c r="E95" s="15"/>
      <ns0:c r="F95" s="13"/>
      <ns0:c r="G95" s="13"/>
      <ns0:c r="H95" s="14"/>
      <ns0:c r="I95" s="16"/>
      <ns0:c r="J95" s="16"/>
      <ns0:c r="K95" s="13"/>
      <ns0:c r="L95" s="13"/>
      <ns0:c r="M95" s="14"/>
    </ns0:row>
    <ns0:row r="96" ht="20.15" customHeight="1" s="36">
      <ns0:c r="A96" s="12"/>
      <ns0:c r="B96" s="18"/>
      <ns0:c r="C96" s="14"/>
      <ns0:c r="D96" s="13"/>
      <ns0:c r="E96" s="15"/>
      <ns0:c r="F96" s="13"/>
      <ns0:c r="G96" s="13"/>
      <ns0:c r="H96" s="14"/>
      <ns0:c r="I96" s="16"/>
      <ns0:c r="J96" s="16"/>
      <ns0:c r="K96" s="13"/>
      <ns0:c r="L96" s="13"/>
      <ns0:c r="M96" s="14"/>
    </ns0:row>
    <ns0:row r="97" ht="20.15" customHeight="1" s="36">
      <ns0:c r="A97" s="12"/>
      <ns0:c r="B97" s="18"/>
      <ns0:c r="C97" s="14"/>
      <ns0:c r="D97" s="13"/>
      <ns0:c r="E97" s="15"/>
      <ns0:c r="F97" s="13"/>
      <ns0:c r="G97" s="13"/>
      <ns0:c r="H97" s="14"/>
      <ns0:c r="I97" s="16"/>
      <ns0:c r="J97" s="16"/>
      <ns0:c r="K97" s="13"/>
      <ns0:c r="L97" s="13"/>
      <ns0:c r="M97" s="14"/>
    </ns0:row>
    <ns0:row r="98" ht="20.15" customHeight="1" s="36">
      <ns0:c r="A98" s="12"/>
      <ns0:c r="B98" s="18"/>
      <ns0:c r="C98" s="14"/>
      <ns0:c r="D98" s="13"/>
      <ns0:c r="E98" s="15"/>
      <ns0:c r="F98" s="13"/>
      <ns0:c r="G98" s="13"/>
      <ns0:c r="H98" s="14"/>
      <ns0:c r="I98" s="16"/>
      <ns0:c r="J98" s="16"/>
      <ns0:c r="K98" s="13"/>
      <ns0:c r="L98" s="13"/>
      <ns0:c r="M98" s="14"/>
    </ns0:row>
    <ns0:row r="99" ht="20.15" customHeight="1" s="36">
      <ns0:c r="A99" s="12"/>
      <ns0:c r="B99" s="18"/>
      <ns0:c r="C99" s="14"/>
      <ns0:c r="D99" s="13"/>
      <ns0:c r="E99" s="15"/>
      <ns0:c r="F99" s="13"/>
      <ns0:c r="G99" s="13"/>
      <ns0:c r="H99" s="14"/>
      <ns0:c r="I99" s="16"/>
      <ns0:c r="J99" s="16"/>
      <ns0:c r="K99" s="13"/>
      <ns0:c r="L99" s="13"/>
      <ns0:c r="M99" s="14"/>
    </ns0:row>
    <ns0:row r="100" ht="20.15" customHeight="1" s="36">
      <ns0:c r="A100" s="12"/>
      <ns0:c r="B100" s="18"/>
      <ns0:c r="C100" s="14"/>
      <ns0:c r="D100" s="13"/>
      <ns0:c r="E100" s="15"/>
      <ns0:c r="F100" s="13"/>
      <ns0:c r="G100" s="13"/>
      <ns0:c r="H100" s="14"/>
      <ns0:c r="I100" s="16"/>
      <ns0:c r="J100" s="16"/>
      <ns0:c r="K100" s="13"/>
      <ns0:c r="L100" s="13"/>
      <ns0:c r="M100" s="14"/>
    </ns0:row>
    <ns0:row r="101" ht="20.15" customHeight="1" s="36">
      <ns0:c r="A101" s="12"/>
      <ns0:c r="B101" s="18"/>
      <ns0:c r="C101" s="14"/>
      <ns0:c r="D101" s="13"/>
      <ns0:c r="E101" s="15"/>
      <ns0:c r="F101" s="13"/>
      <ns0:c r="G101" s="13"/>
      <ns0:c r="H101" s="14"/>
      <ns0:c r="I101" s="16"/>
      <ns0:c r="J101" s="16"/>
      <ns0:c r="K101" s="13"/>
      <ns0:c r="L101" s="13"/>
      <ns0:c r="M101" s="14"/>
    </ns0:row>
    <ns0:row r="102" ht="20.15" customHeight="1" s="36">
      <ns0:c r="A102" s="12"/>
      <ns0:c r="B102" s="18"/>
      <ns0:c r="C102" s="14"/>
      <ns0:c r="D102" s="13"/>
      <ns0:c r="E102" s="15"/>
      <ns0:c r="F102" s="13"/>
      <ns0:c r="G102" s="13"/>
      <ns0:c r="H102" s="14"/>
      <ns0:c r="I102" s="16"/>
      <ns0:c r="J102" s="16"/>
      <ns0:c r="K102" s="13"/>
      <ns0:c r="L102" s="13"/>
      <ns0:c r="M102" s="14"/>
    </ns0:row>
    <ns0:row r="103" ht="20.15" customHeight="1" s="36">
      <ns0:c r="A103" s="12"/>
      <ns0:c r="B103" s="18"/>
      <ns0:c r="C103" s="14"/>
      <ns0:c r="D103" s="13"/>
      <ns0:c r="E103" s="15"/>
      <ns0:c r="F103" s="13"/>
      <ns0:c r="G103" s="13"/>
      <ns0:c r="H103" s="14"/>
      <ns0:c r="I103" s="16"/>
      <ns0:c r="J103" s="16"/>
      <ns0:c r="K103" s="13"/>
      <ns0:c r="L103" s="13"/>
      <ns0:c r="M103" s="14"/>
    </ns0:row>
    <ns0:row r="104" ht="20.15" customHeight="1" s="36">
      <ns0:c r="A104" s="12"/>
      <ns0:c r="B104" s="18"/>
      <ns0:c r="C104" s="14"/>
      <ns0:c r="D104" s="13"/>
      <ns0:c r="E104" s="15"/>
      <ns0:c r="F104" s="13"/>
      <ns0:c r="G104" s="13"/>
      <ns0:c r="H104" s="14"/>
      <ns0:c r="I104" s="16"/>
      <ns0:c r="J104" s="16"/>
      <ns0:c r="K104" s="13"/>
      <ns0:c r="L104" s="13"/>
      <ns0:c r="M104" s="14"/>
    </ns0:row>
    <ns0:row r="105" ht="20.15" customHeight="1" s="36">
      <ns0:c r="A105" s="12"/>
      <ns0:c r="B105" s="18"/>
      <ns0:c r="C105" s="14"/>
      <ns0:c r="D105" s="13"/>
      <ns0:c r="E105" s="15"/>
      <ns0:c r="F105" s="13"/>
      <ns0:c r="G105" s="13"/>
      <ns0:c r="H105" s="14"/>
      <ns0:c r="I105" s="16"/>
      <ns0:c r="J105" s="16"/>
      <ns0:c r="K105" s="13"/>
      <ns0:c r="L105" s="13"/>
      <ns0:c r="M105" s="14"/>
    </ns0:row>
    <ns0:row r="106" ht="20.15" customHeight="1" s="36">
      <ns0:c r="A106" s="12"/>
      <ns0:c r="B106" s="18"/>
      <ns0:c r="C106" s="14"/>
      <ns0:c r="D106" s="13"/>
      <ns0:c r="E106" s="15"/>
      <ns0:c r="F106" s="13"/>
      <ns0:c r="G106" s="13"/>
      <ns0:c r="H106" s="14"/>
      <ns0:c r="I106" s="16"/>
      <ns0:c r="J106" s="16"/>
      <ns0:c r="K106" s="13"/>
      <ns0:c r="L106" s="13"/>
      <ns0:c r="M106" s="14"/>
    </ns0:row>
    <ns0:row r="107" ht="20.15" customHeight="1" s="36">
      <ns0:c r="A107" s="12"/>
      <ns0:c r="B107" s="18"/>
      <ns0:c r="C107" s="14"/>
      <ns0:c r="D107" s="13"/>
      <ns0:c r="E107" s="15"/>
      <ns0:c r="F107" s="13"/>
      <ns0:c r="G107" s="13"/>
      <ns0:c r="H107" s="14"/>
      <ns0:c r="I107" s="16"/>
      <ns0:c r="J107" s="16"/>
      <ns0:c r="K107" s="13"/>
      <ns0:c r="L107" s="13"/>
      <ns0:c r="M107" s="14"/>
    </ns0:row>
    <ns0:row r="108" ht="20.15" customHeight="1" s="36">
      <ns0:c r="A108" s="12"/>
      <ns0:c r="B108" s="18"/>
      <ns0:c r="C108" s="14"/>
      <ns0:c r="D108" s="13"/>
      <ns0:c r="E108" s="15"/>
      <ns0:c r="F108" s="13"/>
      <ns0:c r="G108" s="13"/>
      <ns0:c r="H108" s="14"/>
      <ns0:c r="I108" s="16"/>
      <ns0:c r="J108" s="16"/>
      <ns0:c r="K108" s="13"/>
      <ns0:c r="L108" s="13"/>
      <ns0:c r="M108" s="14"/>
    </ns0:row>
    <ns0:row r="109" ht="20.15" customHeight="1" s="36">
      <ns0:c r="A109" s="12"/>
      <ns0:c r="B109" s="18"/>
      <ns0:c r="C109" s="14"/>
      <ns0:c r="D109" s="13"/>
      <ns0:c r="E109" s="15"/>
      <ns0:c r="F109" s="13"/>
      <ns0:c r="G109" s="13"/>
      <ns0:c r="H109" s="14"/>
      <ns0:c r="I109" s="16"/>
      <ns0:c r="J109" s="16"/>
      <ns0:c r="K109" s="13"/>
      <ns0:c r="L109" s="13"/>
      <ns0:c r="M109" s="14"/>
    </ns0:row>
    <ns0:row r="110" ht="20.15" customHeight="1" s="36">
      <ns0:c r="A110" s="12"/>
      <ns0:c r="B110" s="18"/>
      <ns0:c r="C110" s="14"/>
      <ns0:c r="D110" s="13"/>
      <ns0:c r="E110" s="15"/>
      <ns0:c r="F110" s="13"/>
      <ns0:c r="G110" s="13"/>
      <ns0:c r="H110" s="14"/>
      <ns0:c r="I110" s="16"/>
      <ns0:c r="J110" s="16"/>
      <ns0:c r="K110" s="13"/>
      <ns0:c r="L110" s="13"/>
      <ns0:c r="M110" s="14"/>
    </ns0:row>
    <ns0:row r="111" ht="20.15" customHeight="1" s="36">
      <ns0:c r="A111" s="12"/>
      <ns0:c r="B111" s="18"/>
      <ns0:c r="C111" s="14"/>
      <ns0:c r="D111" s="13"/>
      <ns0:c r="E111" s="15"/>
      <ns0:c r="F111" s="13"/>
      <ns0:c r="G111" s="13"/>
      <ns0:c r="H111" s="14"/>
      <ns0:c r="I111" s="16"/>
      <ns0:c r="J111" s="16"/>
      <ns0:c r="K111" s="13"/>
      <ns0:c r="L111" s="13"/>
      <ns0:c r="M111" s="14"/>
    </ns0:row>
    <ns0:row r="112" ht="20.15" customHeight="1" s="36">
      <ns0:c r="A112" s="12"/>
      <ns0:c r="B112" s="18"/>
      <ns0:c r="C112" s="14"/>
      <ns0:c r="D112" s="13"/>
      <ns0:c r="E112" s="15"/>
      <ns0:c r="F112" s="13"/>
      <ns0:c r="G112" s="13"/>
      <ns0:c r="H112" s="14"/>
      <ns0:c r="I112" s="16"/>
      <ns0:c r="J112" s="16"/>
      <ns0:c r="K112" s="13"/>
      <ns0:c r="L112" s="13"/>
      <ns0:c r="M112" s="14"/>
    </ns0:row>
    <ns0:row r="113" ht="20.15" customHeight="1" s="36">
      <ns0:c r="A113" s="12"/>
      <ns0:c r="B113" s="18"/>
      <ns0:c r="C113" s="14"/>
      <ns0:c r="D113" s="13"/>
      <ns0:c r="E113" s="15"/>
      <ns0:c r="F113" s="13"/>
      <ns0:c r="G113" s="13"/>
      <ns0:c r="H113" s="14"/>
      <ns0:c r="I113" s="16"/>
      <ns0:c r="J113" s="16"/>
      <ns0:c r="K113" s="13"/>
      <ns0:c r="L113" s="13"/>
      <ns0:c r="M113" s="14"/>
    </ns0:row>
    <ns0:row r="114" ht="20.15" customHeight="1" s="36">
      <ns0:c r="A114" s="12"/>
      <ns0:c r="B114" s="18"/>
      <ns0:c r="C114" s="14"/>
      <ns0:c r="D114" s="13"/>
      <ns0:c r="E114" s="15"/>
      <ns0:c r="F114" s="13"/>
      <ns0:c r="G114" s="13"/>
      <ns0:c r="H114" s="14"/>
      <ns0:c r="I114" s="16"/>
      <ns0:c r="J114" s="16"/>
      <ns0:c r="K114" s="13"/>
      <ns0:c r="L114" s="13"/>
      <ns0:c r="M114" s="14"/>
    </ns0:row>
    <ns0:row r="115" ht="20.15" customHeight="1" s="36">
      <ns0:c r="A115" s="12"/>
      <ns0:c r="B115" s="18"/>
      <ns0:c r="C115" s="14"/>
      <ns0:c r="D115" s="13"/>
      <ns0:c r="E115" s="15"/>
      <ns0:c r="F115" s="13"/>
      <ns0:c r="G115" s="13"/>
      <ns0:c r="H115" s="14"/>
      <ns0:c r="I115" s="16"/>
      <ns0:c r="J115" s="16"/>
      <ns0:c r="K115" s="13"/>
      <ns0:c r="L115" s="13"/>
      <ns0:c r="M115" s="14"/>
    </ns0:row>
    <ns0:row r="116" ht="20.15" customHeight="1" s="36">
      <ns0:c r="A116" s="12"/>
      <ns0:c r="B116" s="18"/>
      <ns0:c r="C116" s="14"/>
      <ns0:c r="D116" s="13"/>
      <ns0:c r="E116" s="15"/>
      <ns0:c r="F116" s="13"/>
      <ns0:c r="G116" s="13"/>
      <ns0:c r="H116" s="14"/>
      <ns0:c r="I116" s="16"/>
      <ns0:c r="J116" s="16"/>
      <ns0:c r="K116" s="13"/>
      <ns0:c r="L116" s="13"/>
      <ns0:c r="M116" s="14"/>
    </ns0:row>
    <ns0:row r="117" ht="20.15" customHeight="1" s="36">
      <ns0:c r="A117" s="12"/>
      <ns0:c r="B117" s="18"/>
      <ns0:c r="C117" s="14"/>
      <ns0:c r="D117" s="13"/>
      <ns0:c r="E117" s="15"/>
      <ns0:c r="F117" s="13"/>
      <ns0:c r="G117" s="13"/>
      <ns0:c r="H117" s="14"/>
      <ns0:c r="I117" s="16"/>
      <ns0:c r="J117" s="16"/>
      <ns0:c r="K117" s="13"/>
      <ns0:c r="L117" s="13"/>
      <ns0:c r="M117" s="14"/>
    </ns0:row>
    <ns0:row r="118" ht="20.15" customHeight="1" s="36">
      <ns0:c r="A118" s="12"/>
      <ns0:c r="B118" s="18"/>
      <ns0:c r="C118" s="14"/>
      <ns0:c r="D118" s="13"/>
      <ns0:c r="E118" s="15"/>
      <ns0:c r="F118" s="13"/>
      <ns0:c r="G118" s="13"/>
      <ns0:c r="H118" s="14"/>
      <ns0:c r="I118" s="16"/>
      <ns0:c r="J118" s="16"/>
      <ns0:c r="K118" s="13"/>
      <ns0:c r="L118" s="13"/>
      <ns0:c r="M118" s="14"/>
    </ns0:row>
    <ns0:row r="119" ht="20.15" customHeight="1" s="36">
      <ns0:c r="A119" s="12"/>
      <ns0:c r="B119" s="18"/>
      <ns0:c r="C119" s="14"/>
      <ns0:c r="D119" s="13"/>
      <ns0:c r="E119" s="15"/>
      <ns0:c r="F119" s="13"/>
      <ns0:c r="G119" s="13"/>
      <ns0:c r="H119" s="14"/>
      <ns0:c r="I119" s="16"/>
      <ns0:c r="J119" s="16"/>
      <ns0:c r="K119" s="13"/>
      <ns0:c r="L119" s="13"/>
      <ns0:c r="M119" s="14"/>
    </ns0:row>
    <ns0:row r="120" ht="20.15" customHeight="1" s="36">
      <ns0:c r="A120" s="12"/>
      <ns0:c r="B120" s="18"/>
      <ns0:c r="C120" s="14"/>
      <ns0:c r="D120" s="13"/>
      <ns0:c r="E120" s="15"/>
      <ns0:c r="F120" s="13"/>
      <ns0:c r="G120" s="13"/>
      <ns0:c r="H120" s="14"/>
      <ns0:c r="I120" s="16"/>
      <ns0:c r="J120" s="16"/>
      <ns0:c r="K120" s="13"/>
      <ns0:c r="L120" s="13"/>
      <ns0:c r="M120" s="14"/>
    </ns0:row>
    <ns0:row r="121" ht="20.15" customHeight="1" s="36">
      <ns0:c r="A121" s="12"/>
      <ns0:c r="B121" s="18"/>
      <ns0:c r="C121" s="14"/>
      <ns0:c r="D121" s="13"/>
      <ns0:c r="E121" s="15"/>
      <ns0:c r="F121" s="13"/>
      <ns0:c r="G121" s="13"/>
      <ns0:c r="H121" s="14"/>
      <ns0:c r="I121" s="16"/>
      <ns0:c r="J121" s="16"/>
      <ns0:c r="K121" s="13"/>
      <ns0:c r="L121" s="13"/>
      <ns0:c r="M121" s="14"/>
    </ns0:row>
    <ns0:row r="122" ht="20.15" customHeight="1" s="36">
      <ns0:c r="A122" s="12"/>
      <ns0:c r="B122" s="18"/>
      <ns0:c r="C122" s="14"/>
      <ns0:c r="D122" s="13"/>
      <ns0:c r="E122" s="15"/>
      <ns0:c r="F122" s="13"/>
      <ns0:c r="G122" s="13"/>
      <ns0:c r="H122" s="14"/>
      <ns0:c r="I122" s="16"/>
      <ns0:c r="J122" s="16"/>
      <ns0:c r="K122" s="13"/>
      <ns0:c r="L122" s="13"/>
      <ns0:c r="M122" s="14"/>
    </ns0:row>
    <ns0:row r="123" ht="20.15" customHeight="1" s="36">
      <ns0:c r="A123" s="12"/>
      <ns0:c r="B123" s="18"/>
      <ns0:c r="C123" s="14"/>
      <ns0:c r="D123" s="13"/>
      <ns0:c r="E123" s="15"/>
      <ns0:c r="F123" s="13"/>
      <ns0:c r="G123" s="13"/>
      <ns0:c r="H123" s="14"/>
      <ns0:c r="I123" s="16"/>
      <ns0:c r="J123" s="16"/>
      <ns0:c r="K123" s="13"/>
      <ns0:c r="L123" s="13"/>
      <ns0:c r="M123" s="14"/>
    </ns0:row>
    <ns0:row r="124" ht="20.15" customHeight="1" s="36">
      <ns0:c r="A124" s="12"/>
      <ns0:c r="B124" s="18"/>
      <ns0:c r="C124" s="14"/>
      <ns0:c r="D124" s="13"/>
      <ns0:c r="E124" s="15"/>
      <ns0:c r="F124" s="13"/>
      <ns0:c r="G124" s="13"/>
      <ns0:c r="H124" s="14"/>
      <ns0:c r="I124" s="16"/>
      <ns0:c r="J124" s="16"/>
      <ns0:c r="K124" s="13"/>
      <ns0:c r="L124" s="13"/>
      <ns0:c r="M124" s="14"/>
    </ns0:row>
    <ns0:row r="125" ht="20.15" customHeight="1" s="36">
      <ns0:c r="A125" s="12"/>
      <ns0:c r="B125" s="18"/>
      <ns0:c r="C125" s="14"/>
      <ns0:c r="D125" s="13"/>
      <ns0:c r="E125" s="15"/>
      <ns0:c r="F125" s="13"/>
      <ns0:c r="G125" s="13"/>
      <ns0:c r="H125" s="14"/>
      <ns0:c r="I125" s="16"/>
      <ns0:c r="J125" s="16"/>
      <ns0:c r="K125" s="13"/>
      <ns0:c r="L125" s="13"/>
      <ns0:c r="M125" s="14"/>
    </ns0:row>
    <ns0:row r="126" ht="20.15" customHeight="1" s="36">
      <ns0:c r="A126" s="12"/>
      <ns0:c r="B126" s="18"/>
      <ns0:c r="C126" s="14"/>
      <ns0:c r="D126" s="13"/>
      <ns0:c r="E126" s="15"/>
      <ns0:c r="F126" s="13"/>
      <ns0:c r="G126" s="13"/>
      <ns0:c r="H126" s="14"/>
      <ns0:c r="I126" s="16"/>
      <ns0:c r="J126" s="16"/>
      <ns0:c r="K126" s="13"/>
      <ns0:c r="L126" s="13"/>
      <ns0:c r="M126" s="14"/>
    </ns0:row>
    <ns0:row r="127" ht="20.15" customHeight="1" s="36">
      <ns0:c r="A127" s="12"/>
      <ns0:c r="B127" s="18"/>
      <ns0:c r="C127" s="14"/>
      <ns0:c r="D127" s="13"/>
      <ns0:c r="E127" s="15"/>
      <ns0:c r="F127" s="13"/>
      <ns0:c r="G127" s="13"/>
      <ns0:c r="H127" s="14"/>
      <ns0:c r="I127" s="16"/>
      <ns0:c r="J127" s="16"/>
      <ns0:c r="K127" s="13"/>
      <ns0:c r="L127" s="13"/>
      <ns0:c r="M127" s="14"/>
    </ns0:row>
    <ns0:row r="128" ht="20.15" customHeight="1" s="36">
      <ns0:c r="A128" s="12"/>
      <ns0:c r="B128" s="18"/>
      <ns0:c r="C128" s="14"/>
      <ns0:c r="D128" s="13"/>
      <ns0:c r="E128" s="15"/>
      <ns0:c r="F128" s="13"/>
      <ns0:c r="G128" s="13"/>
      <ns0:c r="H128" s="14"/>
      <ns0:c r="I128" s="16"/>
      <ns0:c r="J128" s="16"/>
      <ns0:c r="K128" s="13"/>
      <ns0:c r="L128" s="13"/>
      <ns0:c r="M128" s="14"/>
    </ns0:row>
    <ns0:row r="129" ht="20.15" customHeight="1" s="36">
      <ns0:c r="A129" s="12"/>
      <ns0:c r="B129" s="18"/>
      <ns0:c r="C129" s="14"/>
      <ns0:c r="D129" s="13"/>
      <ns0:c r="E129" s="15"/>
      <ns0:c r="F129" s="13"/>
      <ns0:c r="G129" s="13"/>
      <ns0:c r="H129" s="14"/>
      <ns0:c r="I129" s="16"/>
      <ns0:c r="J129" s="16"/>
      <ns0:c r="K129" s="13"/>
      <ns0:c r="L129" s="13"/>
      <ns0:c r="M129" s="14"/>
    </ns0:row>
    <ns0:row r="130" ht="20.15" customHeight="1" s="36">
      <ns0:c r="A130" s="12"/>
      <ns0:c r="B130" s="18"/>
      <ns0:c r="C130" s="14"/>
      <ns0:c r="D130" s="13"/>
      <ns0:c r="E130" s="15"/>
      <ns0:c r="F130" s="13"/>
      <ns0:c r="G130" s="13"/>
      <ns0:c r="H130" s="14"/>
      <ns0:c r="I130" s="16"/>
      <ns0:c r="J130" s="16"/>
      <ns0:c r="K130" s="13"/>
      <ns0:c r="L130" s="13"/>
      <ns0:c r="M130" s="14"/>
    </ns0:row>
    <ns0:row r="131" ht="20.15" customHeight="1" s="36">
      <ns0:c r="A131" s="12"/>
      <ns0:c r="B131" s="18"/>
      <ns0:c r="C131" s="14"/>
      <ns0:c r="D131" s="13"/>
      <ns0:c r="E131" s="15"/>
      <ns0:c r="F131" s="13"/>
      <ns0:c r="G131" s="13"/>
      <ns0:c r="H131" s="14"/>
      <ns0:c r="I131" s="16"/>
      <ns0:c r="J131" s="16"/>
      <ns0:c r="K131" s="13"/>
      <ns0:c r="L131" s="13"/>
      <ns0:c r="M131" s="14"/>
    </ns0:row>
    <ns0:row r="132" ht="20.15" customHeight="1" s="36">
      <ns0:c r="A132" s="12"/>
      <ns0:c r="B132" s="18"/>
      <ns0:c r="C132" s="14"/>
      <ns0:c r="D132" s="13"/>
      <ns0:c r="E132" s="15"/>
      <ns0:c r="F132" s="13"/>
      <ns0:c r="G132" s="13"/>
      <ns0:c r="H132" s="14"/>
      <ns0:c r="I132" s="16"/>
      <ns0:c r="J132" s="16"/>
      <ns0:c r="K132" s="13"/>
      <ns0:c r="L132" s="13"/>
      <ns0:c r="M132" s="14"/>
    </ns0:row>
    <ns0:row r="133" ht="20.15" customHeight="1" s="36">
      <ns0:c r="A133" s="12"/>
      <ns0:c r="B133" s="18"/>
      <ns0:c r="C133" s="14"/>
      <ns0:c r="D133" s="13"/>
      <ns0:c r="E133" s="15"/>
      <ns0:c r="F133" s="13"/>
      <ns0:c r="G133" s="13"/>
      <ns0:c r="H133" s="14"/>
      <ns0:c r="I133" s="16"/>
      <ns0:c r="J133" s="16"/>
      <ns0:c r="K133" s="13"/>
      <ns0:c r="L133" s="13"/>
      <ns0:c r="M133" s="14"/>
    </ns0:row>
    <ns0:row r="134" ht="20.15" customHeight="1" s="36">
      <ns0:c r="A134" s="12"/>
      <ns0:c r="B134" s="18"/>
      <ns0:c r="C134" s="14"/>
      <ns0:c r="D134" s="13"/>
      <ns0:c r="E134" s="15"/>
      <ns0:c r="F134" s="13"/>
      <ns0:c r="G134" s="13"/>
      <ns0:c r="H134" s="14"/>
      <ns0:c r="I134" s="16"/>
      <ns0:c r="J134" s="16"/>
      <ns0:c r="K134" s="13"/>
      <ns0:c r="L134" s="13"/>
      <ns0:c r="M134" s="14"/>
    </ns0:row>
    <ns0:row r="135" ht="20.15" customHeight="1" s="36">
      <ns0:c r="A135" s="12"/>
      <ns0:c r="B135" s="18"/>
      <ns0:c r="C135" s="14"/>
      <ns0:c r="D135" s="13"/>
      <ns0:c r="E135" s="15"/>
      <ns0:c r="F135" s="13"/>
      <ns0:c r="G135" s="13"/>
      <ns0:c r="H135" s="14"/>
      <ns0:c r="I135" s="16"/>
      <ns0:c r="J135" s="16"/>
      <ns0:c r="K135" s="13"/>
      <ns0:c r="L135" s="13"/>
      <ns0:c r="M135" s="14"/>
    </ns0:row>
    <ns0:row r="136" ht="20.15" customHeight="1" s="36">
      <ns0:c r="A136" s="12"/>
      <ns0:c r="B136" s="18"/>
      <ns0:c r="C136" s="14"/>
      <ns0:c r="D136" s="13"/>
      <ns0:c r="E136" s="15"/>
      <ns0:c r="F136" s="13"/>
      <ns0:c r="G136" s="13"/>
      <ns0:c r="H136" s="14"/>
      <ns0:c r="I136" s="16"/>
      <ns0:c r="J136" s="16"/>
      <ns0:c r="K136" s="13"/>
      <ns0:c r="L136" s="13"/>
      <ns0:c r="M136" s="14"/>
    </ns0:row>
    <ns0:row r="137" ht="20.15" customHeight="1" s="36">
      <ns0:c r="A137" s="12"/>
      <ns0:c r="B137" s="18"/>
      <ns0:c r="C137" s="14"/>
      <ns0:c r="D137" s="13"/>
      <ns0:c r="E137" s="15"/>
      <ns0:c r="F137" s="13"/>
      <ns0:c r="G137" s="13"/>
      <ns0:c r="H137" s="14"/>
      <ns0:c r="I137" s="16"/>
      <ns0:c r="J137" s="16"/>
      <ns0:c r="K137" s="13"/>
      <ns0:c r="L137" s="13"/>
      <ns0:c r="M137" s="14"/>
    </ns0:row>
    <ns0:row r="138" ht="20.15" customHeight="1" s="36">
      <ns0:c r="A138" s="12"/>
      <ns0:c r="B138" s="18"/>
      <ns0:c r="C138" s="14"/>
      <ns0:c r="D138" s="13"/>
      <ns0:c r="E138" s="15"/>
      <ns0:c r="F138" s="13"/>
      <ns0:c r="G138" s="13"/>
      <ns0:c r="H138" s="14"/>
      <ns0:c r="I138" s="16"/>
      <ns0:c r="J138" s="16"/>
      <ns0:c r="K138" s="13"/>
      <ns0:c r="L138" s="13"/>
      <ns0:c r="M138" s="14"/>
    </ns0:row>
    <ns0:row r="139" ht="20.15" customHeight="1" s="36">
      <ns0:c r="A139" s="12"/>
      <ns0:c r="B139" s="18"/>
      <ns0:c r="C139" s="14"/>
      <ns0:c r="D139" s="13"/>
      <ns0:c r="E139" s="15"/>
      <ns0:c r="F139" s="13"/>
      <ns0:c r="G139" s="13"/>
      <ns0:c r="H139" s="14"/>
      <ns0:c r="I139" s="16"/>
      <ns0:c r="J139" s="16"/>
      <ns0:c r="K139" s="13"/>
      <ns0:c r="L139" s="13"/>
      <ns0:c r="M139" s="14"/>
    </ns0:row>
    <ns0:row r="140" ht="20.15" customHeight="1" s="36">
      <ns0:c r="A140" s="12"/>
      <ns0:c r="B140" s="18"/>
      <ns0:c r="C140" s="14"/>
      <ns0:c r="D140" s="13"/>
      <ns0:c r="E140" s="15"/>
      <ns0:c r="F140" s="13"/>
      <ns0:c r="G140" s="13"/>
      <ns0:c r="H140" s="14"/>
      <ns0:c r="I140" s="16"/>
      <ns0:c r="J140" s="16"/>
      <ns0:c r="K140" s="13"/>
      <ns0:c r="L140" s="13"/>
      <ns0:c r="M140" s="14"/>
    </ns0:row>
    <ns0:row r="141" ht="20.15" customHeight="1" s="36">
      <ns0:c r="A141" s="12"/>
      <ns0:c r="B141" s="18"/>
      <ns0:c r="C141" s="14"/>
      <ns0:c r="D141" s="13"/>
      <ns0:c r="E141" s="15"/>
      <ns0:c r="F141" s="13"/>
      <ns0:c r="G141" s="13"/>
      <ns0:c r="H141" s="14"/>
      <ns0:c r="I141" s="16"/>
      <ns0:c r="J141" s="16"/>
      <ns0:c r="K141" s="13"/>
      <ns0:c r="L141" s="13"/>
      <ns0:c r="M141" s="14"/>
    </ns0:row>
    <ns0:row r="142" ht="20.15" customHeight="1" s="36">
      <ns0:c r="A142" s="12"/>
      <ns0:c r="B142" s="18"/>
      <ns0:c r="C142" s="14"/>
      <ns0:c r="D142" s="13"/>
      <ns0:c r="E142" s="15"/>
      <ns0:c r="F142" s="13"/>
      <ns0:c r="G142" s="13"/>
      <ns0:c r="H142" s="14"/>
      <ns0:c r="I142" s="16"/>
      <ns0:c r="J142" s="16"/>
      <ns0:c r="K142" s="13"/>
      <ns0:c r="L142" s="13"/>
      <ns0:c r="M142" s="14"/>
    </ns0:row>
    <ns0:row r="143" ht="20.15" customHeight="1" s="36">
      <ns0:c r="A143" s="12"/>
      <ns0:c r="B143" s="18"/>
      <ns0:c r="C143" s="14"/>
      <ns0:c r="D143" s="13"/>
      <ns0:c r="E143" s="15"/>
      <ns0:c r="F143" s="13"/>
      <ns0:c r="G143" s="13"/>
      <ns0:c r="H143" s="14"/>
      <ns0:c r="I143" s="16"/>
      <ns0:c r="J143" s="16"/>
      <ns0:c r="K143" s="13"/>
      <ns0:c r="L143" s="13"/>
      <ns0:c r="M143" s="14"/>
    </ns0:row>
    <ns0:row r="144" ht="20.15" customHeight="1" s="36">
      <ns0:c r="A144" s="12"/>
      <ns0:c r="B144" s="18"/>
      <ns0:c r="C144" s="14"/>
      <ns0:c r="D144" s="13"/>
      <ns0:c r="E144" s="15"/>
      <ns0:c r="F144" s="13"/>
      <ns0:c r="G144" s="13"/>
      <ns0:c r="H144" s="14"/>
      <ns0:c r="I144" s="16"/>
      <ns0:c r="J144" s="16"/>
      <ns0:c r="K144" s="13"/>
      <ns0:c r="L144" s="13"/>
      <ns0:c r="M144" s="14"/>
    </ns0:row>
    <ns0:row r="145" ht="20.15" customHeight="1" s="36">
      <ns0:c r="A145" s="12"/>
      <ns0:c r="B145" s="18"/>
      <ns0:c r="C145" s="14"/>
      <ns0:c r="D145" s="13"/>
      <ns0:c r="E145" s="15"/>
      <ns0:c r="F145" s="13"/>
      <ns0:c r="G145" s="13"/>
      <ns0:c r="H145" s="14"/>
      <ns0:c r="I145" s="16"/>
      <ns0:c r="J145" s="16"/>
      <ns0:c r="K145" s="13"/>
      <ns0:c r="L145" s="13"/>
      <ns0:c r="M145" s="14"/>
    </ns0:row>
    <ns0:row r="146" ht="20.15" customHeight="1" s="36">
      <ns0:c r="A146" s="12"/>
      <ns0:c r="B146" s="18"/>
      <ns0:c r="C146" s="14"/>
      <ns0:c r="D146" s="13"/>
      <ns0:c r="E146" s="15"/>
      <ns0:c r="F146" s="13"/>
      <ns0:c r="G146" s="13"/>
      <ns0:c r="H146" s="14"/>
      <ns0:c r="I146" s="16"/>
      <ns0:c r="J146" s="16"/>
      <ns0:c r="K146" s="13"/>
      <ns0:c r="L146" s="13"/>
      <ns0:c r="M146" s="14"/>
    </ns0:row>
    <ns0:row r="147" ht="20.15" customHeight="1" s="36">
      <ns0:c r="A147" s="12"/>
      <ns0:c r="B147" s="18"/>
      <ns0:c r="C147" s="14"/>
      <ns0:c r="D147" s="13"/>
      <ns0:c r="E147" s="15"/>
      <ns0:c r="F147" s="13"/>
      <ns0:c r="G147" s="13"/>
      <ns0:c r="H147" s="14"/>
      <ns0:c r="I147" s="16"/>
      <ns0:c r="J147" s="16"/>
      <ns0:c r="K147" s="13"/>
      <ns0:c r="L147" s="13"/>
      <ns0:c r="M147" s="14"/>
    </ns0:row>
    <ns0:row r="148" ht="20.15" customHeight="1" s="36">
      <ns0:c r="A148" s="12"/>
      <ns0:c r="B148" s="18"/>
      <ns0:c r="C148" s="14"/>
      <ns0:c r="D148" s="13"/>
      <ns0:c r="E148" s="15"/>
      <ns0:c r="F148" s="13"/>
      <ns0:c r="G148" s="13"/>
      <ns0:c r="H148" s="14"/>
      <ns0:c r="I148" s="16"/>
      <ns0:c r="J148" s="16"/>
      <ns0:c r="K148" s="13"/>
      <ns0:c r="L148" s="13"/>
      <ns0:c r="M148" s="14"/>
    </ns0:row>
    <ns0:row r="149" ht="20.15" customHeight="1" s="36">
      <ns0:c r="A149" s="12"/>
      <ns0:c r="B149" s="18"/>
      <ns0:c r="C149" s="14"/>
      <ns0:c r="D149" s="13"/>
      <ns0:c r="E149" s="15"/>
      <ns0:c r="F149" s="13"/>
      <ns0:c r="G149" s="13"/>
      <ns0:c r="H149" s="14"/>
      <ns0:c r="I149" s="16"/>
      <ns0:c r="J149" s="16"/>
      <ns0:c r="K149" s="13"/>
      <ns0:c r="L149" s="13"/>
      <ns0:c r="M149" s="14"/>
    </ns0:row>
    <ns0:row r="150" ht="20.15" customHeight="1" s="36">
      <ns0:c r="A150" s="12"/>
      <ns0:c r="B150" s="18"/>
      <ns0:c r="C150" s="14"/>
      <ns0:c r="D150" s="13"/>
      <ns0:c r="E150" s="15"/>
      <ns0:c r="F150" s="13"/>
      <ns0:c r="G150" s="13"/>
      <ns0:c r="H150" s="14"/>
      <ns0:c r="I150" s="16"/>
      <ns0:c r="J150" s="16"/>
      <ns0:c r="K150" s="13"/>
      <ns0:c r="L150" s="13"/>
      <ns0:c r="M150" s="14"/>
    </ns0:row>
    <ns0:row r="151" ht="20.15" customHeight="1" s="36">
      <ns0:c r="A151" s="12"/>
      <ns0:c r="B151" s="18"/>
      <ns0:c r="C151" s="14"/>
      <ns0:c r="D151" s="13"/>
      <ns0:c r="E151" s="15"/>
      <ns0:c r="F151" s="13"/>
      <ns0:c r="G151" s="13"/>
      <ns0:c r="H151" s="14"/>
      <ns0:c r="I151" s="16"/>
      <ns0:c r="J151" s="16"/>
      <ns0:c r="K151" s="13"/>
      <ns0:c r="L151" s="13"/>
      <ns0:c r="M151" s="14"/>
    </ns0:row>
    <ns0:row r="152" ht="20.15" customHeight="1" s="36">
      <ns0:c r="A152" s="12"/>
      <ns0:c r="B152" s="18"/>
      <ns0:c r="C152" s="14"/>
      <ns0:c r="D152" s="13"/>
      <ns0:c r="E152" s="15"/>
      <ns0:c r="F152" s="13"/>
      <ns0:c r="G152" s="13"/>
      <ns0:c r="H152" s="14"/>
      <ns0:c r="I152" s="16"/>
      <ns0:c r="J152" s="16"/>
      <ns0:c r="K152" s="13"/>
      <ns0:c r="L152" s="13"/>
      <ns0:c r="M152" s="14"/>
    </ns0:row>
    <ns0:row r="153" ht="20.15" customHeight="1" s="36">
      <ns0:c r="A153" s="12"/>
      <ns0:c r="B153" s="18"/>
      <ns0:c r="C153" s="14"/>
      <ns0:c r="D153" s="13"/>
      <ns0:c r="E153" s="15"/>
      <ns0:c r="F153" s="13"/>
      <ns0:c r="G153" s="13"/>
      <ns0:c r="H153" s="14"/>
      <ns0:c r="I153" s="16"/>
      <ns0:c r="J153" s="16"/>
      <ns0:c r="K153" s="13"/>
      <ns0:c r="L153" s="13"/>
      <ns0:c r="M153" s="14"/>
    </ns0:row>
    <ns0:row r="154" ht="20.15" customHeight="1" s="36">
      <ns0:c r="A154" s="12"/>
      <ns0:c r="B154" s="18"/>
      <ns0:c r="C154" s="14"/>
      <ns0:c r="D154" s="13"/>
      <ns0:c r="E154" s="15"/>
      <ns0:c r="F154" s="13"/>
      <ns0:c r="G154" s="13"/>
      <ns0:c r="H154" s="14"/>
      <ns0:c r="I154" s="16"/>
      <ns0:c r="J154" s="16"/>
      <ns0:c r="K154" s="13"/>
      <ns0:c r="L154" s="13"/>
      <ns0:c r="M154" s="14"/>
    </ns0:row>
    <ns0:row r="155" ht="20.15" customHeight="1" s="36">
      <ns0:c r="A155" s="12"/>
      <ns0:c r="B155" s="18"/>
      <ns0:c r="C155" s="14"/>
      <ns0:c r="D155" s="13"/>
      <ns0:c r="E155" s="15"/>
      <ns0:c r="F155" s="13"/>
      <ns0:c r="G155" s="13"/>
      <ns0:c r="H155" s="14"/>
      <ns0:c r="I155" s="16"/>
      <ns0:c r="J155" s="16"/>
      <ns0:c r="K155" s="13"/>
      <ns0:c r="L155" s="13"/>
      <ns0:c r="M155" s="14"/>
    </ns0:row>
    <ns0:row r="156" ht="20.15" customHeight="1" s="36">
      <ns0:c r="A156" s="12"/>
      <ns0:c r="B156" s="18"/>
      <ns0:c r="C156" s="14"/>
      <ns0:c r="D156" s="13"/>
      <ns0:c r="E156" s="15"/>
      <ns0:c r="F156" s="13"/>
      <ns0:c r="G156" s="13"/>
      <ns0:c r="H156" s="14"/>
      <ns0:c r="I156" s="16"/>
      <ns0:c r="J156" s="16"/>
      <ns0:c r="K156" s="13"/>
      <ns0:c r="L156" s="13"/>
      <ns0:c r="M156" s="14"/>
    </ns0:row>
    <ns0:row r="157" ht="20.15" customHeight="1" s="36">
      <ns0:c r="A157" s="12"/>
      <ns0:c r="B157" s="18"/>
      <ns0:c r="C157" s="14"/>
      <ns0:c r="D157" s="13"/>
      <ns0:c r="E157" s="15"/>
      <ns0:c r="F157" s="13"/>
      <ns0:c r="G157" s="13"/>
      <ns0:c r="H157" s="14"/>
      <ns0:c r="I157" s="16"/>
      <ns0:c r="J157" s="16"/>
      <ns0:c r="K157" s="13"/>
      <ns0:c r="L157" s="13"/>
      <ns0:c r="M157" s="14"/>
    </ns0:row>
    <ns0:row r="158" ht="20.15" customHeight="1" s="36">
      <ns0:c r="A158" s="12"/>
      <ns0:c r="B158" s="18"/>
      <ns0:c r="C158" s="14"/>
      <ns0:c r="D158" s="13"/>
      <ns0:c r="E158" s="15"/>
      <ns0:c r="F158" s="13"/>
      <ns0:c r="G158" s="13"/>
      <ns0:c r="H158" s="14"/>
      <ns0:c r="I158" s="16"/>
      <ns0:c r="J158" s="16"/>
      <ns0:c r="K158" s="13"/>
      <ns0:c r="L158" s="13"/>
      <ns0:c r="M158" s="14"/>
    </ns0:row>
    <ns0:row r="159" ht="20.15" customHeight="1" s="36">
      <ns0:c r="A159" s="12"/>
      <ns0:c r="B159" s="18"/>
      <ns0:c r="C159" s="14"/>
      <ns0:c r="D159" s="13"/>
      <ns0:c r="E159" s="15"/>
      <ns0:c r="F159" s="13"/>
      <ns0:c r="G159" s="13"/>
      <ns0:c r="H159" s="14"/>
      <ns0:c r="I159" s="16"/>
      <ns0:c r="J159" s="16"/>
      <ns0:c r="K159" s="13"/>
      <ns0:c r="L159" s="13"/>
      <ns0:c r="M159" s="14"/>
    </ns0:row>
    <ns0:row r="160" ht="20.15" customHeight="1" s="36">
      <ns0:c r="A160" s="12"/>
      <ns0:c r="B160" s="18"/>
      <ns0:c r="C160" s="14"/>
      <ns0:c r="D160" s="13"/>
      <ns0:c r="E160" s="15"/>
      <ns0:c r="F160" s="13"/>
      <ns0:c r="G160" s="13"/>
      <ns0:c r="H160" s="14"/>
      <ns0:c r="I160" s="16"/>
      <ns0:c r="J160" s="16"/>
      <ns0:c r="K160" s="13"/>
      <ns0:c r="L160" s="13"/>
      <ns0:c r="M160" s="14"/>
    </ns0:row>
    <ns0:row r="161" ht="20.15" customHeight="1" s="36">
      <ns0:c r="A161" s="12"/>
      <ns0:c r="B161" s="18"/>
      <ns0:c r="C161" s="14"/>
      <ns0:c r="D161" s="13"/>
      <ns0:c r="E161" s="15"/>
      <ns0:c r="F161" s="13"/>
      <ns0:c r="G161" s="13"/>
      <ns0:c r="H161" s="14"/>
      <ns0:c r="I161" s="16"/>
      <ns0:c r="J161" s="16"/>
      <ns0:c r="K161" s="13"/>
      <ns0:c r="L161" s="13"/>
      <ns0:c r="M161" s="14"/>
    </ns0:row>
    <ns0:row r="162" ht="20.15" customHeight="1" s="36">
      <ns0:c r="A162" s="12"/>
      <ns0:c r="B162" s="18"/>
      <ns0:c r="C162" s="14"/>
      <ns0:c r="D162" s="13"/>
      <ns0:c r="E162" s="15"/>
      <ns0:c r="F162" s="13"/>
      <ns0:c r="G162" s="13"/>
      <ns0:c r="H162" s="14"/>
      <ns0:c r="I162" s="16"/>
      <ns0:c r="J162" s="16"/>
      <ns0:c r="K162" s="13"/>
      <ns0:c r="L162" s="13"/>
      <ns0:c r="M162" s="14"/>
    </ns0:row>
    <ns0:row r="163" ht="20.15" customHeight="1" s="36">
      <ns0:c r="A163" s="12"/>
      <ns0:c r="B163" s="18"/>
      <ns0:c r="C163" s="14"/>
      <ns0:c r="D163" s="13"/>
      <ns0:c r="E163" s="15"/>
      <ns0:c r="F163" s="13"/>
      <ns0:c r="G163" s="13"/>
      <ns0:c r="H163" s="14"/>
      <ns0:c r="I163" s="16"/>
      <ns0:c r="J163" s="16"/>
      <ns0:c r="K163" s="13"/>
      <ns0:c r="L163" s="13"/>
      <ns0:c r="M163" s="14"/>
    </ns0:row>
    <ns0:row r="164" ht="20.15" customHeight="1" s="36">
      <ns0:c r="A164" s="12"/>
      <ns0:c r="B164" s="18"/>
      <ns0:c r="C164" s="14"/>
      <ns0:c r="D164" s="13"/>
      <ns0:c r="E164" s="15"/>
      <ns0:c r="F164" s="13"/>
      <ns0:c r="G164" s="13"/>
      <ns0:c r="H164" s="14"/>
      <ns0:c r="I164" s="16"/>
      <ns0:c r="J164" s="16"/>
      <ns0:c r="K164" s="13"/>
      <ns0:c r="L164" s="13"/>
      <ns0:c r="M164" s="14"/>
    </ns0:row>
    <ns0:row r="165" ht="20.15" customHeight="1" s="36">
      <ns0:c r="A165" s="12"/>
      <ns0:c r="B165" s="18"/>
      <ns0:c r="C165" s="14"/>
      <ns0:c r="D165" s="13"/>
      <ns0:c r="E165" s="15"/>
      <ns0:c r="F165" s="13"/>
      <ns0:c r="G165" s="13"/>
      <ns0:c r="H165" s="14"/>
      <ns0:c r="I165" s="16"/>
      <ns0:c r="J165" s="16"/>
      <ns0:c r="K165" s="13"/>
      <ns0:c r="L165" s="13"/>
      <ns0:c r="M165" s="14"/>
    </ns0:row>
    <ns0:row r="166" ht="20.15" customHeight="1" s="36">
      <ns0:c r="A166" s="12"/>
      <ns0:c r="B166" s="18"/>
      <ns0:c r="C166" s="14"/>
      <ns0:c r="D166" s="13"/>
      <ns0:c r="E166" s="15"/>
      <ns0:c r="F166" s="13"/>
      <ns0:c r="G166" s="13"/>
      <ns0:c r="H166" s="14"/>
      <ns0:c r="I166" s="16"/>
      <ns0:c r="J166" s="16"/>
      <ns0:c r="K166" s="13"/>
      <ns0:c r="L166" s="13"/>
      <ns0:c r="M166" s="14"/>
    </ns0:row>
    <ns0:row r="167" ht="20.15" customHeight="1" s="36">
      <ns0:c r="A167" s="12"/>
      <ns0:c r="B167" s="18"/>
      <ns0:c r="C167" s="14"/>
      <ns0:c r="D167" s="13"/>
      <ns0:c r="E167" s="15"/>
      <ns0:c r="F167" s="13"/>
      <ns0:c r="G167" s="13"/>
      <ns0:c r="H167" s="14"/>
      <ns0:c r="I167" s="16"/>
      <ns0:c r="J167" s="16"/>
      <ns0:c r="K167" s="13"/>
      <ns0:c r="L167" s="13"/>
      <ns0:c r="M167" s="14"/>
    </ns0:row>
    <ns0:row r="168" ht="20.15" customHeight="1" s="36">
      <ns0:c r="A168" s="12"/>
      <ns0:c r="B168" s="18"/>
      <ns0:c r="C168" s="14"/>
      <ns0:c r="D168" s="13"/>
      <ns0:c r="E168" s="15"/>
      <ns0:c r="F168" s="13"/>
      <ns0:c r="G168" s="13"/>
      <ns0:c r="H168" s="14"/>
      <ns0:c r="I168" s="16"/>
      <ns0:c r="J168" s="16"/>
      <ns0:c r="K168" s="13"/>
      <ns0:c r="L168" s="13"/>
      <ns0:c r="M168" s="14"/>
    </ns0:row>
    <ns0:row r="169" ht="20.15" customHeight="1" s="36">
      <ns0:c r="A169" s="12"/>
      <ns0:c r="B169" s="18"/>
      <ns0:c r="C169" s="14"/>
      <ns0:c r="D169" s="13"/>
      <ns0:c r="E169" s="15"/>
      <ns0:c r="F169" s="13"/>
      <ns0:c r="G169" s="13"/>
      <ns0:c r="H169" s="14"/>
      <ns0:c r="I169" s="16"/>
      <ns0:c r="J169" s="16"/>
      <ns0:c r="K169" s="13"/>
      <ns0:c r="L169" s="13"/>
      <ns0:c r="M169" s="14"/>
    </ns0:row>
    <ns0:row r="170" ht="20.15" customHeight="1" s="36">
      <ns0:c r="A170" s="12"/>
      <ns0:c r="B170" s="18"/>
      <ns0:c r="C170" s="14"/>
      <ns0:c r="D170" s="13"/>
      <ns0:c r="E170" s="15"/>
      <ns0:c r="F170" s="13"/>
      <ns0:c r="G170" s="13"/>
      <ns0:c r="H170" s="14"/>
      <ns0:c r="I170" s="16"/>
      <ns0:c r="J170" s="16"/>
      <ns0:c r="K170" s="13"/>
      <ns0:c r="L170" s="13"/>
      <ns0:c r="M170" s="14"/>
    </ns0:row>
    <ns0:row r="171" ht="20.15" customHeight="1" s="36">
      <ns0:c r="A171" s="12"/>
      <ns0:c r="B171" s="18"/>
      <ns0:c r="C171" s="14"/>
      <ns0:c r="D171" s="13"/>
      <ns0:c r="E171" s="15"/>
      <ns0:c r="F171" s="13"/>
      <ns0:c r="G171" s="13"/>
      <ns0:c r="H171" s="14"/>
      <ns0:c r="I171" s="16"/>
      <ns0:c r="J171" s="16"/>
      <ns0:c r="K171" s="13"/>
      <ns0:c r="L171" s="13"/>
      <ns0:c r="M171" s="14"/>
    </ns0:row>
    <ns0:row r="172" ht="20.15" customHeight="1" s="36">
      <ns0:c r="A172" s="12"/>
      <ns0:c r="B172" s="18"/>
      <ns0:c r="C172" s="14"/>
      <ns0:c r="D172" s="13"/>
      <ns0:c r="E172" s="15"/>
      <ns0:c r="F172" s="13"/>
      <ns0:c r="G172" s="13"/>
      <ns0:c r="H172" s="14"/>
      <ns0:c r="I172" s="16"/>
      <ns0:c r="J172" s="16"/>
      <ns0:c r="K172" s="13"/>
      <ns0:c r="L172" s="13"/>
      <ns0:c r="M172" s="14"/>
    </ns0:row>
    <ns0:row r="173" ht="20.15" customHeight="1" s="36">
      <ns0:c r="A173" s="12"/>
      <ns0:c r="B173" s="18"/>
      <ns0:c r="C173" s="14"/>
      <ns0:c r="D173" s="13"/>
      <ns0:c r="E173" s="15"/>
      <ns0:c r="F173" s="13"/>
      <ns0:c r="G173" s="13"/>
      <ns0:c r="H173" s="14"/>
      <ns0:c r="I173" s="16"/>
      <ns0:c r="J173" s="16"/>
      <ns0:c r="K173" s="13"/>
      <ns0:c r="L173" s="13"/>
      <ns0:c r="M173" s="14"/>
    </ns0:row>
    <ns0:row r="174" ht="20.15" customHeight="1" s="36">
      <ns0:c r="A174" s="12"/>
      <ns0:c r="B174" s="18"/>
      <ns0:c r="C174" s="14"/>
      <ns0:c r="D174" s="13"/>
      <ns0:c r="E174" s="15"/>
      <ns0:c r="F174" s="13"/>
      <ns0:c r="G174" s="13"/>
      <ns0:c r="H174" s="14"/>
      <ns0:c r="I174" s="16"/>
      <ns0:c r="J174" s="16"/>
      <ns0:c r="K174" s="13"/>
      <ns0:c r="L174" s="13"/>
      <ns0:c r="M174" s="14"/>
    </ns0:row>
    <ns0:row r="175" ht="20.15" customHeight="1" s="36">
      <ns0:c r="A175" s="12"/>
      <ns0:c r="B175" s="18"/>
      <ns0:c r="C175" s="14"/>
      <ns0:c r="D175" s="13"/>
      <ns0:c r="E175" s="15"/>
      <ns0:c r="F175" s="13"/>
      <ns0:c r="G175" s="13"/>
      <ns0:c r="H175" s="14"/>
      <ns0:c r="I175" s="16"/>
      <ns0:c r="J175" s="16"/>
      <ns0:c r="K175" s="13"/>
      <ns0:c r="L175" s="13"/>
      <ns0:c r="M175" s="14"/>
    </ns0:row>
    <ns0:row r="176" ht="20.15" customHeight="1" s="36">
      <ns0:c r="A176" s="12"/>
      <ns0:c r="B176" s="18"/>
      <ns0:c r="C176" s="14"/>
      <ns0:c r="D176" s="13"/>
      <ns0:c r="E176" s="15"/>
      <ns0:c r="F176" s="13"/>
      <ns0:c r="G176" s="13"/>
      <ns0:c r="H176" s="14"/>
      <ns0:c r="I176" s="16"/>
      <ns0:c r="J176" s="16"/>
      <ns0:c r="K176" s="13"/>
      <ns0:c r="L176" s="13"/>
      <ns0:c r="M176" s="14"/>
    </ns0:row>
    <ns0:row r="177" ht="20.15" customHeight="1" s="36">
      <ns0:c r="A177" s="12"/>
      <ns0:c r="B177" s="18"/>
      <ns0:c r="C177" s="14"/>
      <ns0:c r="D177" s="13"/>
      <ns0:c r="E177" s="15"/>
      <ns0:c r="F177" s="13"/>
      <ns0:c r="G177" s="13"/>
      <ns0:c r="H177" s="14"/>
      <ns0:c r="I177" s="16"/>
      <ns0:c r="J177" s="16"/>
      <ns0:c r="K177" s="13"/>
      <ns0:c r="L177" s="13"/>
      <ns0:c r="M177" s="14"/>
    </ns0:row>
    <ns0:row r="178" ht="20.15" customHeight="1" s="36">
      <ns0:c r="A178" s="12"/>
      <ns0:c r="B178" s="18"/>
      <ns0:c r="C178" s="14"/>
      <ns0:c r="D178" s="13"/>
      <ns0:c r="E178" s="15"/>
      <ns0:c r="F178" s="13"/>
      <ns0:c r="G178" s="13"/>
      <ns0:c r="H178" s="14"/>
      <ns0:c r="I178" s="16"/>
      <ns0:c r="J178" s="16"/>
      <ns0:c r="K178" s="13"/>
      <ns0:c r="L178" s="13"/>
      <ns0:c r="M178" s="14"/>
    </ns0:row>
    <ns0:row r="179" ht="20.15" customHeight="1" s="36">
      <ns0:c r="A179" s="12"/>
      <ns0:c r="B179" s="18"/>
      <ns0:c r="C179" s="14"/>
      <ns0:c r="D179" s="13"/>
      <ns0:c r="E179" s="15"/>
      <ns0:c r="F179" s="13"/>
      <ns0:c r="G179" s="13"/>
      <ns0:c r="H179" s="14"/>
      <ns0:c r="I179" s="16"/>
      <ns0:c r="J179" s="16"/>
      <ns0:c r="K179" s="13"/>
      <ns0:c r="L179" s="13"/>
      <ns0:c r="M179" s="14"/>
    </ns0:row>
    <ns0:row r="180" ht="20.15" customHeight="1" s="36">
      <ns0:c r="A180" s="12"/>
      <ns0:c r="B180" s="18"/>
      <ns0:c r="C180" s="14"/>
      <ns0:c r="D180" s="13"/>
      <ns0:c r="E180" s="15"/>
      <ns0:c r="F180" s="13"/>
      <ns0:c r="G180" s="13"/>
      <ns0:c r="H180" s="14"/>
      <ns0:c r="I180" s="16"/>
      <ns0:c r="J180" s="16"/>
      <ns0:c r="K180" s="13"/>
      <ns0:c r="L180" s="13"/>
      <ns0:c r="M180" s="14"/>
    </ns0:row>
    <ns0:row r="181" ht="20.15" customHeight="1" s="36">
      <ns0:c r="A181" s="12"/>
      <ns0:c r="B181" s="18"/>
      <ns0:c r="C181" s="14"/>
      <ns0:c r="D181" s="13"/>
      <ns0:c r="E181" s="15"/>
      <ns0:c r="F181" s="13"/>
      <ns0:c r="G181" s="13"/>
      <ns0:c r="H181" s="14"/>
      <ns0:c r="I181" s="16"/>
      <ns0:c r="J181" s="16"/>
      <ns0:c r="K181" s="13"/>
      <ns0:c r="L181" s="13"/>
      <ns0:c r="M181" s="14"/>
    </ns0:row>
    <ns0:row r="182" ht="20.15" customHeight="1" s="36">
      <ns0:c r="A182" s="12"/>
      <ns0:c r="B182" s="18"/>
      <ns0:c r="C182" s="14"/>
      <ns0:c r="D182" s="13"/>
      <ns0:c r="E182" s="15"/>
      <ns0:c r="F182" s="13"/>
      <ns0:c r="G182" s="13"/>
      <ns0:c r="H182" s="14"/>
      <ns0:c r="I182" s="16"/>
      <ns0:c r="J182" s="16"/>
      <ns0:c r="K182" s="13"/>
      <ns0:c r="L182" s="13"/>
      <ns0:c r="M182" s="14"/>
    </ns0:row>
    <ns0:row r="183" ht="20.15" customHeight="1" s="36">
      <ns0:c r="A183" s="12"/>
      <ns0:c r="B183" s="18"/>
      <ns0:c r="C183" s="14"/>
      <ns0:c r="D183" s="13"/>
      <ns0:c r="E183" s="15"/>
      <ns0:c r="F183" s="13"/>
      <ns0:c r="G183" s="13"/>
      <ns0:c r="H183" s="14"/>
      <ns0:c r="I183" s="16"/>
      <ns0:c r="J183" s="16"/>
      <ns0:c r="K183" s="13"/>
      <ns0:c r="L183" s="13"/>
      <ns0:c r="M183" s="14"/>
    </ns0:row>
    <ns0:row r="184" ht="20.15" customHeight="1" s="36">
      <ns0:c r="A184" s="12"/>
      <ns0:c r="B184" s="18"/>
      <ns0:c r="C184" s="14"/>
      <ns0:c r="D184" s="13"/>
      <ns0:c r="E184" s="15"/>
      <ns0:c r="F184" s="13"/>
      <ns0:c r="G184" s="13"/>
      <ns0:c r="H184" s="14"/>
      <ns0:c r="I184" s="16"/>
      <ns0:c r="J184" s="16"/>
      <ns0:c r="K184" s="13"/>
      <ns0:c r="L184" s="13"/>
      <ns0:c r="M184" s="14"/>
    </ns0:row>
    <ns0:row r="185" ht="20.15" customHeight="1" s="36">
      <ns0:c r="A185" s="12"/>
      <ns0:c r="B185" s="18"/>
      <ns0:c r="C185" s="14"/>
      <ns0:c r="D185" s="13"/>
      <ns0:c r="E185" s="15"/>
      <ns0:c r="F185" s="13"/>
      <ns0:c r="G185" s="13"/>
      <ns0:c r="H185" s="14"/>
      <ns0:c r="I185" s="16"/>
      <ns0:c r="J185" s="16"/>
      <ns0:c r="K185" s="13"/>
      <ns0:c r="L185" s="13"/>
      <ns0:c r="M185" s="14"/>
    </ns0:row>
    <ns0:row r="186" ht="20.15" customHeight="1" s="36">
      <ns0:c r="A186" s="12"/>
      <ns0:c r="B186" s="18"/>
      <ns0:c r="C186" s="14"/>
      <ns0:c r="D186" s="13"/>
      <ns0:c r="E186" s="15"/>
      <ns0:c r="F186" s="13"/>
      <ns0:c r="G186" s="13"/>
      <ns0:c r="H186" s="14"/>
      <ns0:c r="I186" s="16"/>
      <ns0:c r="J186" s="16"/>
      <ns0:c r="K186" s="13"/>
      <ns0:c r="L186" s="13"/>
      <ns0:c r="M186" s="14"/>
    </ns0:row>
    <ns0:row r="187" ht="20.15" customHeight="1" s="36">
      <ns0:c r="A187" s="12"/>
      <ns0:c r="B187" s="18"/>
      <ns0:c r="C187" s="14"/>
      <ns0:c r="D187" s="13"/>
      <ns0:c r="E187" s="15"/>
      <ns0:c r="F187" s="13"/>
      <ns0:c r="G187" s="13"/>
      <ns0:c r="H187" s="14"/>
      <ns0:c r="I187" s="16"/>
      <ns0:c r="J187" s="16"/>
      <ns0:c r="K187" s="13"/>
      <ns0:c r="L187" s="13"/>
      <ns0:c r="M187" s="14"/>
    </ns0:row>
    <ns0:row r="188" ht="20.15" customHeight="1" s="36">
      <ns0:c r="A188" s="12"/>
      <ns0:c r="B188" s="18"/>
      <ns0:c r="C188" s="14"/>
      <ns0:c r="D188" s="13"/>
      <ns0:c r="E188" s="15"/>
      <ns0:c r="F188" s="13"/>
      <ns0:c r="G188" s="13"/>
      <ns0:c r="H188" s="14"/>
      <ns0:c r="I188" s="16"/>
      <ns0:c r="J188" s="16"/>
      <ns0:c r="K188" s="13"/>
      <ns0:c r="L188" s="13"/>
      <ns0:c r="M188" s="14"/>
    </ns0:row>
    <ns0:row r="189" ht="20.15" customHeight="1" s="36">
      <ns0:c r="A189" s="12"/>
      <ns0:c r="B189" s="18"/>
      <ns0:c r="C189" s="14"/>
      <ns0:c r="D189" s="13"/>
      <ns0:c r="E189" s="15"/>
      <ns0:c r="F189" s="13"/>
      <ns0:c r="G189" s="13"/>
      <ns0:c r="H189" s="14"/>
      <ns0:c r="I189" s="16"/>
      <ns0:c r="J189" s="16"/>
      <ns0:c r="K189" s="13"/>
      <ns0:c r="L189" s="13"/>
      <ns0:c r="M189" s="14"/>
    </ns0:row>
    <ns0:row r="190" ht="20.15" customHeight="1" s="36">
      <ns0:c r="A190" s="12"/>
      <ns0:c r="B190" s="18"/>
      <ns0:c r="C190" s="14"/>
      <ns0:c r="D190" s="13"/>
      <ns0:c r="E190" s="15"/>
      <ns0:c r="F190" s="13"/>
      <ns0:c r="G190" s="13"/>
      <ns0:c r="H190" s="14"/>
      <ns0:c r="I190" s="16"/>
      <ns0:c r="J190" s="16"/>
      <ns0:c r="K190" s="13"/>
      <ns0:c r="L190" s="13"/>
      <ns0:c r="M190" s="14"/>
    </ns0:row>
    <ns0:row r="191" ht="20.15" customHeight="1" s="36">
      <ns0:c r="A191" s="12"/>
      <ns0:c r="B191" s="18"/>
      <ns0:c r="C191" s="14"/>
      <ns0:c r="D191" s="13"/>
      <ns0:c r="E191" s="15"/>
      <ns0:c r="F191" s="13"/>
      <ns0:c r="G191" s="13"/>
      <ns0:c r="H191" s="14"/>
      <ns0:c r="I191" s="16"/>
      <ns0:c r="J191" s="16"/>
      <ns0:c r="K191" s="13"/>
      <ns0:c r="L191" s="13"/>
      <ns0:c r="M191" s="14"/>
    </ns0:row>
    <ns0:row r="192" ht="20.15" customHeight="1" s="36">
      <ns0:c r="A192" s="12"/>
      <ns0:c r="B192" s="18"/>
      <ns0:c r="C192" s="14"/>
      <ns0:c r="D192" s="13"/>
      <ns0:c r="E192" s="15"/>
      <ns0:c r="F192" s="13"/>
      <ns0:c r="G192" s="13"/>
      <ns0:c r="H192" s="14"/>
      <ns0:c r="I192" s="16"/>
      <ns0:c r="J192" s="16"/>
      <ns0:c r="K192" s="13"/>
      <ns0:c r="L192" s="13"/>
      <ns0:c r="M192" s="14"/>
    </ns0:row>
    <ns0:row r="193" ht="20.15" customHeight="1" s="36">
      <ns0:c r="A193" s="12"/>
      <ns0:c r="B193" s="18"/>
      <ns0:c r="C193" s="14"/>
      <ns0:c r="D193" s="13"/>
      <ns0:c r="E193" s="15"/>
      <ns0:c r="F193" s="13"/>
      <ns0:c r="G193" s="13"/>
      <ns0:c r="H193" s="14"/>
      <ns0:c r="I193" s="16"/>
      <ns0:c r="J193" s="16"/>
      <ns0:c r="K193" s="13"/>
      <ns0:c r="L193" s="13"/>
      <ns0:c r="M193" s="14"/>
    </ns0:row>
    <ns0:row r="194" ht="20.15" customHeight="1" s="36">
      <ns0:c r="A194" s="12"/>
      <ns0:c r="B194" s="18"/>
      <ns0:c r="C194" s="14"/>
      <ns0:c r="D194" s="13"/>
      <ns0:c r="E194" s="15"/>
      <ns0:c r="F194" s="13"/>
      <ns0:c r="G194" s="13"/>
      <ns0:c r="H194" s="14"/>
      <ns0:c r="I194" s="16"/>
      <ns0:c r="J194" s="16"/>
      <ns0:c r="K194" s="13"/>
      <ns0:c r="L194" s="13"/>
      <ns0:c r="M194" s="14"/>
    </ns0:row>
    <ns0:row r="195" ht="20.15" customHeight="1" s="36">
      <ns0:c r="A195" s="12"/>
      <ns0:c r="B195" s="18"/>
      <ns0:c r="C195" s="14"/>
      <ns0:c r="D195" s="13"/>
      <ns0:c r="E195" s="15"/>
      <ns0:c r="F195" s="13"/>
      <ns0:c r="G195" s="13"/>
      <ns0:c r="H195" s="14"/>
      <ns0:c r="I195" s="16"/>
      <ns0:c r="J195" s="16"/>
      <ns0:c r="K195" s="13"/>
      <ns0:c r="L195" s="13"/>
      <ns0:c r="M195" s="14"/>
    </ns0:row>
    <ns0:row r="196" ht="20.15" customHeight="1" s="36">
      <ns0:c r="A196" s="12"/>
      <ns0:c r="B196" s="18"/>
      <ns0:c r="C196" s="14"/>
      <ns0:c r="D196" s="13"/>
      <ns0:c r="E196" s="15"/>
      <ns0:c r="F196" s="13"/>
      <ns0:c r="G196" s="13"/>
      <ns0:c r="H196" s="14"/>
      <ns0:c r="I196" s="16"/>
      <ns0:c r="J196" s="16"/>
      <ns0:c r="K196" s="13"/>
      <ns0:c r="L196" s="13"/>
      <ns0:c r="M196" s="14"/>
    </ns0:row>
    <ns0:row r="197" ht="20.15" customHeight="1" s="36">
      <ns0:c r="A197" s="12"/>
      <ns0:c r="B197" s="18"/>
      <ns0:c r="C197" s="14"/>
      <ns0:c r="D197" s="13"/>
      <ns0:c r="E197" s="15"/>
      <ns0:c r="F197" s="13"/>
      <ns0:c r="G197" s="13"/>
      <ns0:c r="H197" s="14"/>
      <ns0:c r="I197" s="16"/>
      <ns0:c r="J197" s="16"/>
      <ns0:c r="K197" s="13"/>
      <ns0:c r="L197" s="13"/>
      <ns0:c r="M197" s="14"/>
    </ns0:row>
    <ns0:row r="198" ht="20.15" customHeight="1" s="36">
      <ns0:c r="A198" s="12"/>
      <ns0:c r="B198" s="18"/>
      <ns0:c r="C198" s="14"/>
      <ns0:c r="D198" s="13"/>
      <ns0:c r="E198" s="15"/>
      <ns0:c r="F198" s="13"/>
      <ns0:c r="G198" s="13"/>
      <ns0:c r="H198" s="14"/>
      <ns0:c r="I198" s="16"/>
      <ns0:c r="J198" s="16"/>
      <ns0:c r="K198" s="13"/>
      <ns0:c r="L198" s="13"/>
      <ns0:c r="M198" s="14"/>
    </ns0:row>
    <ns0:row r="199" ht="20.15" customHeight="1" s="36">
      <ns0:c r="A199" s="12"/>
      <ns0:c r="B199" s="18"/>
      <ns0:c r="C199" s="14"/>
      <ns0:c r="D199" s="13"/>
      <ns0:c r="E199" s="15"/>
      <ns0:c r="F199" s="13"/>
      <ns0:c r="G199" s="13"/>
      <ns0:c r="H199" s="14"/>
      <ns0:c r="I199" s="16"/>
      <ns0:c r="J199" s="16"/>
      <ns0:c r="K199" s="13"/>
      <ns0:c r="L199" s="13"/>
      <ns0:c r="M199" s="14"/>
    </ns0:row>
    <ns0:row r="200" ht="20.15" customHeight="1" s="36">
      <ns0:c r="A200" s="12"/>
      <ns0:c r="B200" s="18"/>
      <ns0:c r="C200" s="14"/>
      <ns0:c r="D200" s="13"/>
      <ns0:c r="E200" s="15"/>
      <ns0:c r="F200" s="13"/>
      <ns0:c r="G200" s="13"/>
      <ns0:c r="H200" s="14"/>
      <ns0:c r="I200" s="16"/>
      <ns0:c r="J200" s="16"/>
      <ns0:c r="K200" s="13"/>
      <ns0:c r="L200" s="13"/>
      <ns0:c r="M200" s="14"/>
    </ns0:row>
    <ns0:row r="201" ht="20.15" customHeight="1" s="36">
      <ns0:c r="A201" s="12"/>
      <ns0:c r="B201" s="18"/>
      <ns0:c r="C201" s="14"/>
      <ns0:c r="D201" s="13"/>
      <ns0:c r="E201" s="15"/>
      <ns0:c r="F201" s="13"/>
      <ns0:c r="G201" s="13"/>
      <ns0:c r="H201" s="14"/>
      <ns0:c r="I201" s="16"/>
      <ns0:c r="J201" s="16"/>
      <ns0:c r="K201" s="13"/>
      <ns0:c r="L201" s="13"/>
      <ns0:c r="M201" s="14"/>
    </ns0:row>
    <ns0:row r="202" ht="20.15" customHeight="1" s="36">
      <ns0:c r="A202" s="12"/>
      <ns0:c r="B202" s="18"/>
      <ns0:c r="C202" s="14"/>
      <ns0:c r="D202" s="13"/>
      <ns0:c r="E202" s="15"/>
      <ns0:c r="F202" s="13"/>
      <ns0:c r="G202" s="13"/>
      <ns0:c r="H202" s="14"/>
      <ns0:c r="I202" s="16"/>
      <ns0:c r="J202" s="16"/>
      <ns0:c r="K202" s="13"/>
      <ns0:c r="L202" s="13"/>
      <ns0:c r="M202" s="14"/>
    </ns0:row>
    <ns0:row r="203" ht="20.15" customHeight="1" s="36">
      <ns0:c r="A203" s="12"/>
      <ns0:c r="B203" s="18"/>
      <ns0:c r="C203" s="14"/>
      <ns0:c r="D203" s="13"/>
      <ns0:c r="E203" s="15"/>
      <ns0:c r="F203" s="13"/>
      <ns0:c r="G203" s="13"/>
      <ns0:c r="H203" s="14"/>
      <ns0:c r="I203" s="16"/>
      <ns0:c r="J203" s="16"/>
      <ns0:c r="K203" s="13"/>
      <ns0:c r="L203" s="13"/>
      <ns0:c r="M203" s="14"/>
    </ns0:row>
    <ns0:row r="204" ht="20.15" customHeight="1" s="36">
      <ns0:c r="A204" s="12"/>
      <ns0:c r="B204" s="18"/>
      <ns0:c r="C204" s="14"/>
      <ns0:c r="D204" s="13"/>
      <ns0:c r="E204" s="15"/>
      <ns0:c r="F204" s="13"/>
      <ns0:c r="G204" s="13"/>
      <ns0:c r="H204" s="14"/>
      <ns0:c r="I204" s="16"/>
      <ns0:c r="J204" s="16"/>
      <ns0:c r="K204" s="13"/>
      <ns0:c r="L204" s="13"/>
      <ns0:c r="M204" s="14"/>
    </ns0:row>
    <ns0:row r="205" ht="20.15" customHeight="1" s="36">
      <ns0:c r="A205" s="12"/>
      <ns0:c r="B205" s="18"/>
      <ns0:c r="C205" s="14"/>
      <ns0:c r="D205" s="13"/>
      <ns0:c r="E205" s="15"/>
      <ns0:c r="F205" s="13"/>
      <ns0:c r="G205" s="13"/>
      <ns0:c r="H205" s="14"/>
      <ns0:c r="I205" s="16"/>
      <ns0:c r="J205" s="16"/>
      <ns0:c r="K205" s="13"/>
      <ns0:c r="L205" s="13"/>
      <ns0:c r="M205" s="14"/>
    </ns0:row>
    <ns0:row r="206" ht="20.15" customHeight="1" s="36">
      <ns0:c r="A206" s="12"/>
      <ns0:c r="B206" s="18"/>
      <ns0:c r="C206" s="14"/>
      <ns0:c r="D206" s="13"/>
      <ns0:c r="E206" s="15"/>
      <ns0:c r="F206" s="13"/>
      <ns0:c r="G206" s="13"/>
      <ns0:c r="H206" s="14"/>
      <ns0:c r="I206" s="16"/>
      <ns0:c r="J206" s="16"/>
      <ns0:c r="K206" s="13"/>
      <ns0:c r="L206" s="13"/>
      <ns0:c r="M206" s="14"/>
    </ns0:row>
    <ns0:row r="207" ht="20.15" customHeight="1" s="36">
      <ns0:c r="A207" s="12"/>
      <ns0:c r="B207" s="18"/>
      <ns0:c r="C207" s="14"/>
      <ns0:c r="D207" s="13"/>
      <ns0:c r="E207" s="15"/>
      <ns0:c r="F207" s="13"/>
      <ns0:c r="G207" s="13"/>
      <ns0:c r="H207" s="14"/>
      <ns0:c r="I207" s="16"/>
      <ns0:c r="J207" s="16"/>
      <ns0:c r="K207" s="13"/>
      <ns0:c r="L207" s="13"/>
      <ns0:c r="M207" s="14"/>
    </ns0:row>
    <ns0:row r="208" ht="20.15" customHeight="1" s="36">
      <ns0:c r="A208" s="12"/>
      <ns0:c r="B208" s="18"/>
      <ns0:c r="C208" s="14"/>
      <ns0:c r="D208" s="13"/>
      <ns0:c r="E208" s="15"/>
      <ns0:c r="F208" s="13"/>
      <ns0:c r="G208" s="13"/>
      <ns0:c r="H208" s="14"/>
      <ns0:c r="I208" s="16"/>
      <ns0:c r="J208" s="16"/>
      <ns0:c r="K208" s="13"/>
      <ns0:c r="L208" s="13"/>
      <ns0:c r="M208" s="14"/>
    </ns0:row>
    <ns0:row r="209" ht="20.15" customHeight="1" s="36">
      <ns0:c r="A209" s="12"/>
      <ns0:c r="B209" s="18"/>
      <ns0:c r="C209" s="14"/>
      <ns0:c r="D209" s="13"/>
      <ns0:c r="E209" s="15"/>
      <ns0:c r="F209" s="13"/>
      <ns0:c r="G209" s="13"/>
      <ns0:c r="H209" s="14"/>
      <ns0:c r="I209" s="16"/>
      <ns0:c r="J209" s="16"/>
      <ns0:c r="K209" s="13"/>
      <ns0:c r="L209" s="13"/>
      <ns0:c r="M209" s="14"/>
    </ns0:row>
    <ns0:row r="210" ht="20.15" customHeight="1" s="36">
      <ns0:c r="A210" s="12"/>
      <ns0:c r="B210" s="18"/>
      <ns0:c r="C210" s="14"/>
      <ns0:c r="D210" s="13"/>
      <ns0:c r="E210" s="15"/>
      <ns0:c r="F210" s="13"/>
      <ns0:c r="G210" s="13"/>
      <ns0:c r="H210" s="14"/>
      <ns0:c r="I210" s="16"/>
      <ns0:c r="J210" s="16"/>
      <ns0:c r="K210" s="13"/>
      <ns0:c r="L210" s="13"/>
      <ns0:c r="M210" s="14"/>
    </ns0:row>
    <ns0:row r="211" ht="20.15" customHeight="1" s="36">
      <ns0:c r="A211" s="12"/>
      <ns0:c r="B211" s="18"/>
      <ns0:c r="C211" s="14"/>
      <ns0:c r="D211" s="13"/>
      <ns0:c r="E211" s="15"/>
      <ns0:c r="F211" s="13"/>
      <ns0:c r="G211" s="13"/>
      <ns0:c r="H211" s="14"/>
      <ns0:c r="I211" s="16"/>
      <ns0:c r="J211" s="16"/>
      <ns0:c r="K211" s="13"/>
      <ns0:c r="L211" s="13"/>
      <ns0:c r="M211" s="14"/>
    </ns0:row>
    <ns0:row r="212" ht="20.15" customHeight="1" s="36">
      <ns0:c r="A212" s="12"/>
      <ns0:c r="B212" s="18"/>
      <ns0:c r="C212" s="14"/>
      <ns0:c r="D212" s="13"/>
      <ns0:c r="E212" s="15"/>
      <ns0:c r="F212" s="13"/>
      <ns0:c r="G212" s="13"/>
      <ns0:c r="H212" s="14"/>
      <ns0:c r="I212" s="16"/>
      <ns0:c r="J212" s="16"/>
      <ns0:c r="K212" s="13"/>
      <ns0:c r="L212" s="13"/>
      <ns0:c r="M212" s="14"/>
    </ns0:row>
    <ns0:row r="213" ht="20.15" customHeight="1" s="36">
      <ns0:c r="A213" s="12"/>
      <ns0:c r="B213" s="18"/>
      <ns0:c r="C213" s="14"/>
      <ns0:c r="D213" s="13"/>
      <ns0:c r="E213" s="15"/>
      <ns0:c r="F213" s="13"/>
      <ns0:c r="G213" s="13"/>
      <ns0:c r="H213" s="14"/>
      <ns0:c r="I213" s="16"/>
      <ns0:c r="J213" s="16"/>
      <ns0:c r="K213" s="13"/>
      <ns0:c r="L213" s="13"/>
      <ns0:c r="M213" s="14"/>
    </ns0:row>
    <ns0:row r="214" ht="20.15" customHeight="1" s="36">
      <ns0:c r="A214" s="12"/>
      <ns0:c r="B214" s="18"/>
      <ns0:c r="C214" s="14"/>
      <ns0:c r="D214" s="13"/>
      <ns0:c r="E214" s="15"/>
      <ns0:c r="F214" s="13"/>
      <ns0:c r="G214" s="13"/>
      <ns0:c r="H214" s="14"/>
      <ns0:c r="I214" s="16"/>
      <ns0:c r="J214" s="16"/>
      <ns0:c r="K214" s="13"/>
      <ns0:c r="L214" s="13"/>
      <ns0:c r="M214" s="14"/>
    </ns0:row>
    <ns0:row r="215" ht="20.15" customHeight="1" s="36">
      <ns0:c r="A215" s="12"/>
      <ns0:c r="B215" s="18"/>
      <ns0:c r="C215" s="14"/>
      <ns0:c r="D215" s="13"/>
      <ns0:c r="E215" s="15"/>
      <ns0:c r="F215" s="13"/>
      <ns0:c r="G215" s="13"/>
      <ns0:c r="H215" s="14"/>
      <ns0:c r="I215" s="16"/>
      <ns0:c r="J215" s="16"/>
      <ns0:c r="K215" s="13"/>
      <ns0:c r="L215" s="13"/>
      <ns0:c r="M215" s="14"/>
    </ns0:row>
    <ns0:row r="216" ht="20.15" customHeight="1" s="36">
      <ns0:c r="A216" s="12"/>
      <ns0:c r="B216" s="18"/>
      <ns0:c r="C216" s="14"/>
      <ns0:c r="D216" s="13"/>
      <ns0:c r="E216" s="15"/>
      <ns0:c r="F216" s="13"/>
      <ns0:c r="G216" s="13"/>
      <ns0:c r="H216" s="14"/>
      <ns0:c r="I216" s="16"/>
      <ns0:c r="J216" s="16"/>
      <ns0:c r="K216" s="13"/>
      <ns0:c r="L216" s="13"/>
      <ns0:c r="M216" s="14"/>
    </ns0:row>
    <ns0:row r="217" ht="20.15" customHeight="1" s="36">
      <ns0:c r="A217" s="12"/>
      <ns0:c r="B217" s="18"/>
      <ns0:c r="C217" s="14"/>
      <ns0:c r="D217" s="13"/>
      <ns0:c r="E217" s="15"/>
      <ns0:c r="F217" s="13"/>
      <ns0:c r="G217" s="13"/>
      <ns0:c r="H217" s="14"/>
      <ns0:c r="I217" s="16"/>
      <ns0:c r="J217" s="16"/>
      <ns0:c r="K217" s="13"/>
      <ns0:c r="L217" s="13"/>
      <ns0:c r="M217" s="14"/>
    </ns0:row>
    <ns0:row r="218" ht="20.15" customHeight="1" s="36">
      <ns0:c r="A218" s="12"/>
      <ns0:c r="B218" s="18"/>
      <ns0:c r="C218" s="14"/>
      <ns0:c r="D218" s="13"/>
      <ns0:c r="E218" s="15"/>
      <ns0:c r="F218" s="13"/>
      <ns0:c r="G218" s="13"/>
      <ns0:c r="H218" s="14"/>
      <ns0:c r="I218" s="16"/>
      <ns0:c r="J218" s="16"/>
      <ns0:c r="K218" s="13"/>
      <ns0:c r="L218" s="13"/>
      <ns0:c r="M218" s="14"/>
    </ns0:row>
    <ns0:row r="219" ht="20.15" customHeight="1" s="36">
      <ns0:c r="A219" s="12"/>
      <ns0:c r="B219" s="18"/>
      <ns0:c r="C219" s="14"/>
      <ns0:c r="D219" s="13"/>
      <ns0:c r="E219" s="15"/>
      <ns0:c r="F219" s="13"/>
      <ns0:c r="G219" s="13"/>
      <ns0:c r="H219" s="14"/>
      <ns0:c r="I219" s="16"/>
      <ns0:c r="J219" s="16"/>
      <ns0:c r="K219" s="13"/>
      <ns0:c r="L219" s="13"/>
      <ns0:c r="M219" s="14"/>
    </ns0:row>
    <ns0:row r="220" ht="20.15" customHeight="1" s="36">
      <ns0:c r="A220" s="12"/>
      <ns0:c r="B220" s="18"/>
      <ns0:c r="C220" s="14"/>
      <ns0:c r="D220" s="13"/>
      <ns0:c r="E220" s="15"/>
      <ns0:c r="F220" s="13"/>
      <ns0:c r="G220" s="13"/>
      <ns0:c r="H220" s="14"/>
      <ns0:c r="I220" s="16"/>
      <ns0:c r="J220" s="16"/>
      <ns0:c r="K220" s="13"/>
      <ns0:c r="L220" s="13"/>
      <ns0:c r="M220" s="14"/>
    </ns0:row>
    <ns0:row r="221" ht="20.15" customHeight="1" s="36">
      <ns0:c r="A221" s="12"/>
      <ns0:c r="B221" s="18"/>
      <ns0:c r="C221" s="14"/>
      <ns0:c r="D221" s="13"/>
      <ns0:c r="E221" s="15"/>
      <ns0:c r="F221" s="13"/>
      <ns0:c r="G221" s="13"/>
      <ns0:c r="H221" s="14"/>
      <ns0:c r="I221" s="16"/>
      <ns0:c r="J221" s="16"/>
      <ns0:c r="K221" s="13"/>
      <ns0:c r="L221" s="13"/>
      <ns0:c r="M221" s="14"/>
    </ns0:row>
    <ns0:row r="222" ht="20.15" customHeight="1" s="36">
      <ns0:c r="A222" s="12"/>
      <ns0:c r="B222" s="18"/>
      <ns0:c r="C222" s="14"/>
      <ns0:c r="D222" s="13"/>
      <ns0:c r="E222" s="15"/>
      <ns0:c r="F222" s="13"/>
      <ns0:c r="G222" s="13"/>
      <ns0:c r="H222" s="14"/>
      <ns0:c r="I222" s="16"/>
      <ns0:c r="J222" s="16"/>
      <ns0:c r="K222" s="13"/>
      <ns0:c r="L222" s="13"/>
      <ns0:c r="M222" s="14"/>
    </ns0:row>
    <ns0:row r="223" ht="20.15" customHeight="1" s="36">
      <ns0:c r="A223" s="12"/>
      <ns0:c r="B223" s="18"/>
      <ns0:c r="C223" s="14"/>
      <ns0:c r="D223" s="13"/>
      <ns0:c r="E223" s="15"/>
      <ns0:c r="F223" s="13"/>
      <ns0:c r="G223" s="13"/>
      <ns0:c r="H223" s="14"/>
      <ns0:c r="I223" s="16"/>
      <ns0:c r="J223" s="16"/>
      <ns0:c r="K223" s="13"/>
      <ns0:c r="L223" s="13"/>
      <ns0:c r="M223" s="14"/>
    </ns0:row>
    <ns0:row r="224" ht="20.15" customHeight="1" s="36">
      <ns0:c r="A224" s="12"/>
      <ns0:c r="B224" s="18"/>
      <ns0:c r="C224" s="14"/>
      <ns0:c r="D224" s="13"/>
      <ns0:c r="E224" s="15"/>
      <ns0:c r="F224" s="13"/>
      <ns0:c r="G224" s="13"/>
      <ns0:c r="H224" s="14"/>
      <ns0:c r="I224" s="16"/>
      <ns0:c r="J224" s="16"/>
      <ns0:c r="K224" s="13"/>
      <ns0:c r="L224" s="13"/>
      <ns0:c r="M224" s="14"/>
    </ns0:row>
    <ns0:row r="225" ht="20.15" customHeight="1" s="36">
      <ns0:c r="A225" s="12"/>
      <ns0:c r="B225" s="18"/>
      <ns0:c r="C225" s="14"/>
      <ns0:c r="D225" s="13"/>
      <ns0:c r="E225" s="15"/>
      <ns0:c r="F225" s="13"/>
      <ns0:c r="G225" s="13"/>
      <ns0:c r="H225" s="14"/>
      <ns0:c r="I225" s="16"/>
      <ns0:c r="J225" s="16"/>
      <ns0:c r="K225" s="13"/>
      <ns0:c r="L225" s="13"/>
      <ns0:c r="M225" s="14"/>
    </ns0:row>
    <ns0:row r="226" ht="20.15" customHeight="1" s="36">
      <ns0:c r="A226" s="12"/>
      <ns0:c r="B226" s="18"/>
      <ns0:c r="C226" s="14"/>
      <ns0:c r="D226" s="13"/>
      <ns0:c r="E226" s="15"/>
      <ns0:c r="F226" s="13"/>
      <ns0:c r="G226" s="13"/>
      <ns0:c r="H226" s="14"/>
      <ns0:c r="I226" s="16"/>
      <ns0:c r="J226" s="16"/>
      <ns0:c r="K226" s="13"/>
      <ns0:c r="L226" s="13"/>
      <ns0:c r="M226" s="14"/>
    </ns0:row>
    <ns0:row r="227" ht="20.15" customHeight="1" s="36">
      <ns0:c r="A227" s="12"/>
      <ns0:c r="B227" s="18"/>
      <ns0:c r="C227" s="14"/>
      <ns0:c r="D227" s="13"/>
      <ns0:c r="E227" s="15"/>
      <ns0:c r="F227" s="13"/>
      <ns0:c r="G227" s="13"/>
      <ns0:c r="H227" s="14"/>
      <ns0:c r="I227" s="16"/>
      <ns0:c r="J227" s="16"/>
      <ns0:c r="K227" s="13"/>
      <ns0:c r="L227" s="13"/>
      <ns0:c r="M227" s="14"/>
    </ns0:row>
    <ns0:row r="228" ht="20.15" customHeight="1" s="36">
      <ns0:c r="A228" s="12"/>
      <ns0:c r="B228" s="18"/>
      <ns0:c r="C228" s="14"/>
      <ns0:c r="D228" s="13"/>
      <ns0:c r="E228" s="15"/>
      <ns0:c r="F228" s="13"/>
      <ns0:c r="G228" s="13"/>
      <ns0:c r="H228" s="14"/>
      <ns0:c r="I228" s="16"/>
      <ns0:c r="J228" s="16"/>
      <ns0:c r="K228" s="13"/>
      <ns0:c r="L228" s="13"/>
      <ns0:c r="M228" s="14"/>
    </ns0:row>
    <ns0:row r="229" ht="20.15" customHeight="1" s="36">
      <ns0:c r="A229" s="12"/>
      <ns0:c r="B229" s="18"/>
      <ns0:c r="C229" s="14"/>
      <ns0:c r="D229" s="13"/>
      <ns0:c r="E229" s="15"/>
      <ns0:c r="F229" s="13"/>
      <ns0:c r="G229" s="13"/>
      <ns0:c r="H229" s="14"/>
      <ns0:c r="I229" s="16"/>
      <ns0:c r="J229" s="16"/>
      <ns0:c r="K229" s="13"/>
      <ns0:c r="L229" s="13"/>
      <ns0:c r="M229" s="14"/>
    </ns0:row>
    <ns0:row r="230" ht="20.15" customHeight="1" s="36">
      <ns0:c r="A230" s="12"/>
      <ns0:c r="B230" s="18"/>
      <ns0:c r="C230" s="14"/>
      <ns0:c r="D230" s="13"/>
      <ns0:c r="E230" s="15"/>
      <ns0:c r="F230" s="13"/>
      <ns0:c r="G230" s="13"/>
      <ns0:c r="H230" s="14"/>
      <ns0:c r="I230" s="16"/>
      <ns0:c r="J230" s="16"/>
      <ns0:c r="K230" s="13"/>
      <ns0:c r="L230" s="13"/>
      <ns0:c r="M230" s="14"/>
    </ns0:row>
    <ns0:row r="231" ht="20.15" customHeight="1" s="36">
      <ns0:c r="A231" s="12"/>
      <ns0:c r="B231" s="18"/>
      <ns0:c r="C231" s="14"/>
      <ns0:c r="D231" s="13"/>
      <ns0:c r="E231" s="15"/>
      <ns0:c r="F231" s="13"/>
      <ns0:c r="G231" s="13"/>
      <ns0:c r="H231" s="14"/>
      <ns0:c r="I231" s="16"/>
      <ns0:c r="J231" s="16"/>
      <ns0:c r="K231" s="13"/>
      <ns0:c r="L231" s="13"/>
      <ns0:c r="M231" s="14"/>
    </ns0:row>
    <ns0:row r="232" ht="20.15" customHeight="1" s="36">
      <ns0:c r="A232" s="12"/>
      <ns0:c r="B232" s="18"/>
      <ns0:c r="C232" s="14"/>
      <ns0:c r="D232" s="13"/>
      <ns0:c r="E232" s="15"/>
      <ns0:c r="F232" s="13"/>
      <ns0:c r="G232" s="13"/>
      <ns0:c r="H232" s="14"/>
      <ns0:c r="I232" s="16"/>
      <ns0:c r="J232" s="16"/>
      <ns0:c r="K232" s="13"/>
      <ns0:c r="L232" s="13"/>
      <ns0:c r="M232" s="14"/>
    </ns0:row>
    <ns0:row r="233" ht="20.15" customHeight="1" s="36">
      <ns0:c r="A233" s="12"/>
      <ns0:c r="B233" s="18"/>
      <ns0:c r="C233" s="14"/>
      <ns0:c r="D233" s="13"/>
      <ns0:c r="E233" s="15"/>
      <ns0:c r="F233" s="13"/>
      <ns0:c r="G233" s="13"/>
      <ns0:c r="H233" s="14"/>
      <ns0:c r="I233" s="16"/>
      <ns0:c r="J233" s="16"/>
      <ns0:c r="K233" s="13"/>
      <ns0:c r="L233" s="13"/>
      <ns0:c r="M233" s="14"/>
    </ns0:row>
    <ns0:row r="234" ht="20.15" customHeight="1" s="36">
      <ns0:c r="A234" s="12"/>
      <ns0:c r="B234" s="18"/>
      <ns0:c r="C234" s="14"/>
      <ns0:c r="D234" s="13"/>
      <ns0:c r="E234" s="15"/>
      <ns0:c r="F234" s="13"/>
      <ns0:c r="G234" s="13"/>
      <ns0:c r="H234" s="14"/>
      <ns0:c r="I234" s="16"/>
      <ns0:c r="J234" s="16"/>
      <ns0:c r="K234" s="13"/>
      <ns0:c r="L234" s="13"/>
      <ns0:c r="M234" s="14"/>
    </ns0:row>
    <ns0:row r="235" ht="20.15" customHeight="1" s="36">
      <ns0:c r="A235" s="12"/>
      <ns0:c r="B235" s="18"/>
      <ns0:c r="C235" s="14"/>
      <ns0:c r="D235" s="13"/>
      <ns0:c r="E235" s="15"/>
      <ns0:c r="F235" s="13"/>
      <ns0:c r="G235" s="13"/>
      <ns0:c r="H235" s="14"/>
      <ns0:c r="I235" s="16"/>
      <ns0:c r="J235" s="16"/>
      <ns0:c r="K235" s="13"/>
      <ns0:c r="L235" s="13"/>
      <ns0:c r="M235" s="14"/>
    </ns0:row>
    <ns0:row r="236" ht="20.15" customHeight="1" s="36">
      <ns0:c r="A236" s="12"/>
      <ns0:c r="B236" s="18"/>
      <ns0:c r="C236" s="14"/>
      <ns0:c r="D236" s="13"/>
      <ns0:c r="E236" s="15"/>
      <ns0:c r="F236" s="13"/>
      <ns0:c r="G236" s="13"/>
      <ns0:c r="H236" s="14"/>
      <ns0:c r="I236" s="16"/>
      <ns0:c r="J236" s="16"/>
      <ns0:c r="K236" s="13"/>
      <ns0:c r="L236" s="13"/>
      <ns0:c r="M236" s="14"/>
    </ns0:row>
    <ns0:row r="237" ht="20.15" customHeight="1" s="36">
      <ns0:c r="A237" s="12"/>
      <ns0:c r="B237" s="18"/>
      <ns0:c r="C237" s="14"/>
      <ns0:c r="D237" s="13"/>
      <ns0:c r="E237" s="15"/>
      <ns0:c r="F237" s="13"/>
      <ns0:c r="G237" s="13"/>
      <ns0:c r="H237" s="14"/>
      <ns0:c r="I237" s="16"/>
      <ns0:c r="J237" s="16"/>
      <ns0:c r="K237" s="13"/>
      <ns0:c r="L237" s="13"/>
      <ns0:c r="M237" s="14"/>
    </ns0:row>
    <ns0:row r="238" ht="20.15" customHeight="1" s="36">
      <ns0:c r="A238" s="12"/>
      <ns0:c r="B238" s="18"/>
      <ns0:c r="C238" s="14"/>
      <ns0:c r="D238" s="13"/>
      <ns0:c r="E238" s="15"/>
      <ns0:c r="F238" s="13"/>
      <ns0:c r="G238" s="13"/>
      <ns0:c r="H238" s="14"/>
      <ns0:c r="I238" s="16"/>
      <ns0:c r="J238" s="16"/>
      <ns0:c r="K238" s="13"/>
      <ns0:c r="L238" s="13"/>
      <ns0:c r="M238" s="14"/>
    </ns0:row>
    <ns0:row r="239" ht="20.15" customHeight="1" s="36">
      <ns0:c r="A239" s="12"/>
      <ns0:c r="B239" s="18"/>
      <ns0:c r="C239" s="14"/>
      <ns0:c r="D239" s="13"/>
      <ns0:c r="E239" s="15"/>
      <ns0:c r="F239" s="13"/>
      <ns0:c r="G239" s="13"/>
      <ns0:c r="H239" s="14"/>
      <ns0:c r="I239" s="16"/>
      <ns0:c r="J239" s="16"/>
      <ns0:c r="K239" s="13"/>
      <ns0:c r="L239" s="13"/>
      <ns0:c r="M239" s="14"/>
    </ns0:row>
    <ns0:row r="240" ht="20.15" customHeight="1" s="36">
      <ns0:c r="A240" s="12"/>
      <ns0:c r="B240" s="18"/>
      <ns0:c r="C240" s="14"/>
      <ns0:c r="D240" s="13"/>
      <ns0:c r="E240" s="15"/>
      <ns0:c r="F240" s="13"/>
      <ns0:c r="G240" s="13"/>
      <ns0:c r="H240" s="14"/>
      <ns0:c r="I240" s="16"/>
      <ns0:c r="J240" s="16"/>
      <ns0:c r="K240" s="13"/>
      <ns0:c r="L240" s="13"/>
      <ns0:c r="M240" s="14"/>
    </ns0:row>
    <ns0:row r="241" ht="20.15" customHeight="1" s="36">
      <ns0:c r="A241" s="12"/>
      <ns0:c r="B241" s="18"/>
      <ns0:c r="C241" s="14"/>
      <ns0:c r="D241" s="13"/>
      <ns0:c r="E241" s="15"/>
      <ns0:c r="F241" s="13"/>
      <ns0:c r="G241" s="13"/>
      <ns0:c r="H241" s="14"/>
      <ns0:c r="I241" s="16"/>
      <ns0:c r="J241" s="16"/>
      <ns0:c r="K241" s="13"/>
      <ns0:c r="L241" s="13"/>
      <ns0:c r="M241" s="14"/>
    </ns0:row>
    <ns0:row r="242" ht="20.15" customHeight="1" s="36">
      <ns0:c r="A242" s="12"/>
      <ns0:c r="B242" s="18"/>
      <ns0:c r="C242" s="14"/>
      <ns0:c r="D242" s="13"/>
      <ns0:c r="E242" s="15"/>
      <ns0:c r="F242" s="13"/>
      <ns0:c r="G242" s="13"/>
      <ns0:c r="H242" s="14"/>
      <ns0:c r="I242" s="16"/>
      <ns0:c r="J242" s="16"/>
      <ns0:c r="K242" s="13"/>
      <ns0:c r="L242" s="13"/>
      <ns0:c r="M242" s="14"/>
    </ns0:row>
    <ns0:row r="243" ht="20.15" customHeight="1" s="36">
      <ns0:c r="A243" s="12"/>
      <ns0:c r="B243" s="18"/>
      <ns0:c r="C243" s="14"/>
      <ns0:c r="D243" s="13"/>
      <ns0:c r="E243" s="15"/>
      <ns0:c r="F243" s="13"/>
      <ns0:c r="G243" s="13"/>
      <ns0:c r="H243" s="14"/>
      <ns0:c r="I243" s="16"/>
      <ns0:c r="J243" s="16"/>
      <ns0:c r="K243" s="13"/>
      <ns0:c r="L243" s="13"/>
      <ns0:c r="M243" s="14"/>
    </ns0:row>
    <ns0:row r="244" ht="20.15" customHeight="1" s="36">
      <ns0:c r="A244" s="12"/>
      <ns0:c r="B244" s="18"/>
      <ns0:c r="C244" s="14"/>
      <ns0:c r="D244" s="13"/>
      <ns0:c r="E244" s="15"/>
      <ns0:c r="F244" s="13"/>
      <ns0:c r="G244" s="13"/>
      <ns0:c r="H244" s="14"/>
      <ns0:c r="I244" s="16"/>
      <ns0:c r="J244" s="16"/>
      <ns0:c r="K244" s="13"/>
      <ns0:c r="L244" s="13"/>
      <ns0:c r="M244" s="14"/>
    </ns0:row>
    <ns0:row r="245" ht="20.15" customHeight="1" s="36">
      <ns0:c r="A245" s="12"/>
      <ns0:c r="B245" s="18"/>
      <ns0:c r="C245" s="14"/>
      <ns0:c r="D245" s="13"/>
      <ns0:c r="E245" s="15"/>
      <ns0:c r="F245" s="13"/>
      <ns0:c r="G245" s="13"/>
      <ns0:c r="H245" s="14"/>
      <ns0:c r="I245" s="16"/>
      <ns0:c r="J245" s="16"/>
      <ns0:c r="K245" s="13"/>
      <ns0:c r="L245" s="13"/>
      <ns0:c r="M245" s="14"/>
    </ns0:row>
    <ns0:row r="246" ht="20.15" customHeight="1" s="36">
      <ns0:c r="A246" s="12"/>
      <ns0:c r="B246" s="18"/>
      <ns0:c r="C246" s="14"/>
      <ns0:c r="D246" s="13"/>
      <ns0:c r="E246" s="15"/>
      <ns0:c r="F246" s="13"/>
      <ns0:c r="G246" s="13"/>
      <ns0:c r="H246" s="14"/>
      <ns0:c r="I246" s="16"/>
      <ns0:c r="J246" s="16"/>
      <ns0:c r="K246" s="13"/>
      <ns0:c r="L246" s="13"/>
      <ns0:c r="M246" s="14"/>
    </ns0:row>
    <ns0:row r="247" ht="20.15" customHeight="1" s="36">
      <ns0:c r="A247" s="12"/>
      <ns0:c r="B247" s="18"/>
      <ns0:c r="C247" s="14"/>
      <ns0:c r="D247" s="13"/>
      <ns0:c r="E247" s="15"/>
      <ns0:c r="F247" s="13"/>
      <ns0:c r="G247" s="13"/>
      <ns0:c r="H247" s="14"/>
      <ns0:c r="I247" s="16"/>
      <ns0:c r="J247" s="16"/>
      <ns0:c r="K247" s="13"/>
      <ns0:c r="L247" s="13"/>
      <ns0:c r="M247" s="14"/>
    </ns0:row>
    <ns0:row r="248" ht="20.15" customHeight="1" s="36">
      <ns0:c r="A248" s="12"/>
      <ns0:c r="B248" s="18"/>
      <ns0:c r="C248" s="14"/>
      <ns0:c r="D248" s="13"/>
      <ns0:c r="E248" s="15"/>
      <ns0:c r="F248" s="13"/>
      <ns0:c r="G248" s="13"/>
      <ns0:c r="H248" s="14"/>
      <ns0:c r="I248" s="16"/>
      <ns0:c r="J248" s="16"/>
      <ns0:c r="K248" s="13"/>
      <ns0:c r="L248" s="13"/>
      <ns0:c r="M248" s="14"/>
    </ns0:row>
    <ns0:row r="249" ht="20.15" customHeight="1" s="36">
      <ns0:c r="A249" s="12"/>
      <ns0:c r="B249" s="18"/>
      <ns0:c r="C249" s="14"/>
      <ns0:c r="D249" s="13"/>
      <ns0:c r="E249" s="15"/>
      <ns0:c r="F249" s="13"/>
      <ns0:c r="G249" s="13"/>
      <ns0:c r="H249" s="14"/>
      <ns0:c r="I249" s="16"/>
      <ns0:c r="J249" s="16"/>
      <ns0:c r="K249" s="13"/>
      <ns0:c r="L249" s="13"/>
      <ns0:c r="M249" s="14"/>
    </ns0:row>
    <ns0:row r="250" ht="20.15" customHeight="1" s="36">
      <ns0:c r="A250" s="12"/>
      <ns0:c r="B250" s="18"/>
      <ns0:c r="C250" s="14"/>
      <ns0:c r="D250" s="13"/>
      <ns0:c r="E250" s="15"/>
      <ns0:c r="F250" s="13"/>
      <ns0:c r="G250" s="13"/>
      <ns0:c r="H250" s="14"/>
      <ns0:c r="I250" s="16"/>
      <ns0:c r="J250" s="16"/>
      <ns0:c r="K250" s="13"/>
      <ns0:c r="L250" s="13"/>
      <ns0:c r="M250" s="14"/>
    </ns0:row>
  </ns0:sheetData>
  <ns0:pageMargins left="0.75" right="0.75" top="1" bottom="1" header="0.5" footer="0.5"/>
  <ns0:tableParts count="1">
    <ns0:tablePart ns1:id="rId1"/>
  </ns0:tableParts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1:N24"/>
  <ns0:sheetViews>
    <ns0:sheetView topLeftCell="A7" workbookViewId="0">
      <ns0:selection activeCell="B21" sqref="B21:C21"/>
    </ns0:sheetView>
  </ns0:sheetViews>
  <ns0:sheetFormatPr baseColWidth="8" defaultRowHeight="14.75"/>
  <ns0:cols>
    <ns0:col width="4" customWidth="1" style="36" min="1" max="1"/>
    <ns0:col width="15" customWidth="1" style="36" min="2" max="3"/>
    <ns0:col width="17" customWidth="1" style="36" min="4" max="4"/>
    <ns0:col width="4" customWidth="1" style="36" min="5" max="5"/>
    <ns0:col width="18" customWidth="1" style="36" min="6" max="6"/>
    <ns0:col width="23.40625" customWidth="1" style="36" min="7" max="7"/>
    <ns0:col width="17" customWidth="1" style="36" min="8" max="8"/>
    <ns0:col width="27.54296875" customWidth="1" style="36" min="9" max="9"/>
    <ns0:col width="16.40625" customWidth="1" style="36" min="10" max="10"/>
    <ns0:col width="24.40625" customWidth="1" style="36" min="11" max="11"/>
    <ns0:col width="17" customWidth="1" style="36" min="12" max="13"/>
  </ns0:cols>
  <ns0:sheetData>
    <ns0:row r="1" ht="30" customHeight="1" s="36">
      <ns0:c r="B1" s="35" t="s">
        <ns0:is>
          <ns0:t>FAMILY EXPENSE DASHBOARD - OCTOBER 2026</ns0:t>
        </ns0:is>
        <ns0:v>0</ns0:v>
      </ns0:c>
    </ns0:row>
    <ns0:row r="3" ht="21.95" customHeight="1" s="36">
      <ns0:c r="B3" s="63" t="inlineStr">
        <ns0:is>
          <ns0:t>TOTAL SPENT (EXPENSES)</ns0:t>
        </ns0:is>
      </ns0:c>
      <ns0:c r="C3" s="33" t="n"/>
      <ns0:c r="D3" s="63" t="inlineStr">
        <ns0:is>
          <ns0:t>MONTHLY BUDGET</ns0:t>
        </ns0:is>
      </ns0:c>
      <ns0:c r="E3" s="33" t="n"/>
      <ns0:c r="F3" s="63" t="inlineStr">
        <ns0:is>
          <ns0:t>BUDGET REMAINING</ns0:t>
        </ns0:is>
      </ns0:c>
      <ns0:c r="G3" s="33" t="n"/>
      <ns0:c r="H3" s="63" t="inlineStr">
        <ns0:is>
          <ns0:t>TOTAL NEEDS</ns0:t>
        </ns0:is>
      </ns0:c>
      <ns0:c r="I3" s="33" t="n"/>
      <ns0:c r="J3" s="63" t="inlineStr">
        <ns0:is>
          <ns0:t>TOTAL WANTS</ns0:t>
        </ns0:is>
      </ns0:c>
      <ns0:c r="K3" s="33" t="n"/>
      <ns0:c r="L3" s="63" t="inlineStr">
        <ns0:is>
          <ns0:t>CASH CONVERSIONS / TRANSFERS</ns0:t>
        </ns0:is>
      </ns0:c>
      <ns0:c r="M3" s="33" t="n"/>
    </ns0:row>
    <ns0:row r="4" ht="30" customHeight="1" s="36">
      <ns0:c r="B4" s="64">
        <ns0:f>SUMIF(Transactions!K$2:K$1000, "Need", Transactions!E$2:E$1000) + SUMIF(Transactions!K$2:K$1000, "Want", Transactions!E$2:E$1000)</ns0:f>
        <ns0:v/>
      </ns0:c>
      <ns0:c r="C4" s="33" t="n"/>
      <ns0:c r="D4" s="64">
        <ns0:f>SUM(G9:G21)</ns0:f>
        <ns0:v/>
      </ns0:c>
      <ns0:c r="E4" s="33" t="n"/>
      <ns0:c r="F4" s="64">
        <ns0:f>D4-B4</ns0:f>
        <ns0:v/>
      </ns0:c>
      <ns0:c r="G4" s="33" t="n"/>
      <ns0:c r="H4" s="64">
        <ns0:f>SUMIF(Transactions!K$2:K$1000, "Need", Transactions!E$2:E$1000)</ns0:f>
        <ns0:v/>
      </ns0:c>
      <ns0:c r="I4" s="33" t="n"/>
      <ns0:c r="J4" s="64">
        <ns0:f>SUMIF(Transactions!K$2:K$1000, "Want", Transactions!E$2:E$1000)</ns0:f>
        <ns0:v/>
      </ns0:c>
      <ns0:c r="K4" s="33" t="n"/>
      <ns0:c r="L4" s="64">
        <ns0:f>SUMIF(Transactions!K$2:K$1000, "Transfer", Transactions!E$2:E$1000)</ns0:f>
        <ns0:v/>
      </ns0:c>
      <ns0:c r="M4" s="33" t="n"/>
    </ns0:row>
    <ns0:row r="7" ht="9.949999999999999" customHeight="1" s="36"/>
    <ns0:row r="8" ht="24" customHeight="1" s="36">
      <ns0:c r="B8" s="65" t="inlineStr">
        <ns0:is>
          <ns0:t>SPENDING BY PAYMENT METHOD</ns0:t>
        </ns0:is>
      </ns0:c>
      <ns0:c r="C8" s="40" t="n"/>
      <ns0:c r="D8" s="33" t="n"/>
      <ns0:c r="F8" s="3" t="inlineStr">
        <ns0:is>
          <ns0:t>Category</ns0:t>
        </ns0:is>
      </ns0:c>
      <ns0:c r="G8" s="3" t="inlineStr">
        <ns0:is>
          <ns0:t>Monthly Budget</ns0:t>
        </ns0:is>
      </ns0:c>
      <ns0:c r="H8" s="3" t="inlineStr">
        <ns0:is>
          <ns0:t>Actual Spent</ns0:t>
        </ns0:is>
      </ns0:c>
      <ns0:c r="I8" s="3" t="inlineStr">
        <ns0:is>
          <ns0:t>Variance (Remaining)</ns0:t>
        </ns0:is>
      </ns0:c>
      <ns0:c r="J8" s="3" t="inlineStr">
        <ns0:is>
          <ns0:t>% Spent</ns0:t>
        </ns0:is>
      </ns0:c>
      <ns0:c r="K8" s="3" t="inlineStr">
        <ns0:is>
          <ns0:t>Budget Status</ns0:t>
        </ns0:is>
      </ns0:c>
    </ns0:row>
    <ns0:row r="9" ht="20.15" customHeight="1" s="36">
      <ns0:c r="B9" s="66" t="inlineStr">
        <ns0:is>
          <ns0:t>UPI/ONLINE</ns0:t>
        </ns0:is>
      </ns0:c>
      <ns0:c r="C9" s="33" t="n"/>
      <ns0:c r="D9" s="10">
        <ns0:f>SUMIFS(Transactions!E$2:E$1000, Transactions!F$2:F$1000, B9, Transactions!K$2:K$1000, "&lt;&gt;Transfer")</ns0:f>
        <ns0:v/>
      </ns0:c>
      <ns0:c r="F9" s="2" t="inlineStr">
        <ns0:is>
          <ns0:t>Housing</ns0:t>
        </ns0:is>
      </ns0:c>
      <ns0:c r="G9" s="10" t="n">
        <ns0:v>12000</ns0:v>
      </ns0:c>
      <ns0:c r="H9" s="10">
        <ns0:f>SUMIFS(Transactions!E$2:E$1000, Transactions!D$2:D$1000, F9, Transactions!K$2:K$1000, "&lt;&gt;Transfer")</ns0:f>
        <ns0:v/>
      </ns0:c>
      <ns0:c r="I9" s="10">
        <ns0:f>G9-H9</ns0:f>
        <ns0:v/>
      </ns0:c>
      <ns0:c r="J9" s="4">
        <ns0:f>IF(G9&gt;0, H9/G9, 0)</ns0:f>
        <ns0:v/>
      </ns0:c>
      <ns0:c r="K9" s="2">
        <ns0:f>IF(H9&gt;G9, "Over Budget", "Within Budget")</ns0:f>
        <ns0:v/>
      </ns0:c>
    </ns0:row>
    <ns0:row r="10" ht="20.15" customHeight="1" s="36">
      <ns0:c r="B10" s="66" t="inlineStr">
        <ns0:is>
          <ns0:t>CASH</ns0:t>
        </ns0:is>
      </ns0:c>
      <ns0:c r="C10" s="33" t="n"/>
      <ns0:c r="D10" s="10">
        <ns0:f>SUMIFS(Transactions!E$2:E$1000, Transactions!F$2:F$1000, B10, Transactions!K$2:K$1000, "&lt;&gt;Transfer")</ns0:f>
        <ns0:v/>
      </ns0:c>
      <ns0:c r="F10" s="2" t="inlineStr">
        <ns0:is>
          <ns0:t>Utilities</ns0:t>
        </ns0:is>
      </ns0:c>
      <ns0:c r="G10" s="10" t="n">
        <ns0:v>5000</ns0:v>
      </ns0:c>
      <ns0:c r="H10" s="10">
        <ns0:f>SUMIFS(Transactions!E$2:E$1000, Transactions!D$2:D$1000, F10, Transactions!K$2:K$1000, "&lt;&gt;Transfer")</ns0:f>
        <ns0:v/>
      </ns0:c>
      <ns0:c r="I10" s="10">
        <ns0:f>G10-H10</ns0:f>
        <ns0:v/>
      </ns0:c>
      <ns0:c r="J10" s="4">
        <ns0:f>IF(G10&gt;0, H10/G10, 0)</ns0:f>
        <ns0:v/>
      </ns0:c>
      <ns0:c r="K10" s="2">
        <ns0:f>IF(H10&gt;G10, "Over Budget", "Within Budget")</ns0:f>
        <ns0:v/>
      </ns0:c>
    </ns0:row>
    <ns0:row r="11" ht="20.15" customHeight="1" s="36">
      <ns0:c r="B11" s="67" t="inlineStr">
        <ns0:is>
          <ns0:t>TOTAL</ns0:t>
        </ns0:is>
      </ns0:c>
      <ns0:c r="C11" s="33" t="n"/>
      <ns0:c r="D11" s="11">
        <ns0:f>SUM(D9:D10)</ns0:f>
        <ns0:v/>
      </ns0:c>
      <ns0:c r="F11" s="2" t="inlineStr">
        <ns0:is>
          <ns0:t>Groceries</ns0:t>
        </ns0:is>
      </ns0:c>
      <ns0:c r="G11" s="10" t="n">
        <ns0:v>3500</ns0:v>
      </ns0:c>
      <ns0:c r="H11" s="10">
        <ns0:f>SUMIFS(Transactions!E$2:E$1000, Transactions!D$2:D$1000, F11, Transactions!K$2:K$1000, "&lt;&gt;Transfer")</ns0:f>
        <ns0:v/>
      </ns0:c>
      <ns0:c r="I11" s="10">
        <ns0:f>G11-H11</ns0:f>
        <ns0:v/>
      </ns0:c>
      <ns0:c r="J11" s="4">
        <ns0:f>IF(G11&gt;0, H11/G11, 0)</ns0:f>
        <ns0:v/>
      </ns0:c>
      <ns0:c r="K11" s="2">
        <ns0:f>IF(H11&gt;G11, "Over Budget", "Within Budget")</ns0:f>
        <ns0:v/>
      </ns0:c>
    </ns0:row>
    <ns0:row r="12" ht="20.15" customHeight="1" s="36">
      <ns0:c r="F12" s="2" t="inlineStr">
        <ns0:is>
          <ns0:t>Transport</ns0:t>
        </ns0:is>
      </ns0:c>
      <ns0:c r="G12" s="10" t="n">
        <ns0:v>4500</ns0:v>
      </ns0:c>
      <ns0:c r="H12" s="10">
        <ns0:f>SUMIFS(Transactions!E$2:E$1000, Transactions!D$2:D$1000, F12, Transactions!K$2:K$1000, "&lt;&gt;Transfer")</ns0:f>
        <ns0:v/>
      </ns0:c>
      <ns0:c r="I12" s="10">
        <ns0:f>G12-H12</ns0:f>
        <ns0:v/>
      </ns0:c>
      <ns0:c r="J12" s="4">
        <ns0:f>IF(G12&gt;0, H12/G12, 0)</ns0:f>
        <ns0:v/>
      </ns0:c>
      <ns0:c r="K12" s="2">
        <ns0:f>IF(H12&gt;G12, "Over Budget", "Within Budget")</ns0:f>
        <ns0:v/>
      </ns0:c>
    </ns0:row>
    <ns0:row r="13" ht="20.15" customHeight="1" s="36">
      <ns0:c r="B13" s="65" t="inlineStr">
        <ns0:is>
          <ns0:t>DEBIT BY ACCOUNT / SOURCE</ns0:t>
        </ns0:is>
      </ns0:c>
      <ns0:c r="C13" s="40" t="n"/>
      <ns0:c r="D13" s="33" t="n"/>
      <ns0:c r="F13" s="2" t="inlineStr">
        <ns0:is>
          <ns0:t>Communication</ns0:t>
        </ns0:is>
      </ns0:c>
      <ns0:c r="G13" s="10" t="n">
        <ns0:v>500</ns0:v>
      </ns0:c>
      <ns0:c r="H13" s="10">
        <ns0:f>SUMIFS(Transactions!E$2:E$1000, Transactions!D$2:D$1000, F13, Transactions!K$2:K$1000, "&lt;&gt;Transfer")</ns0:f>
        <ns0:v/>
      </ns0:c>
      <ns0:c r="I13" s="10">
        <ns0:f>G13-H13</ns0:f>
        <ns0:v/>
      </ns0:c>
      <ns0:c r="J13" s="4">
        <ns0:f>IF(G13&gt;0, H13/G13, 0)</ns0:f>
        <ns0:v/>
      </ns0:c>
      <ns0:c r="K13" s="2">
        <ns0:f>IF(H13&gt;G13, "Over Budget", "Within Budget")</ns0:f>
        <ns0:v/>
      </ns0:c>
    </ns0:row>
    <ns0:row r="14" ht="20.15" customHeight="1" s="36">
      <ns0:c r="B14" s="66" t="inlineStr">
        <ns0:is>
          <ns0:t>SBI (...8112)</ns0:t>
        </ns0:is>
      </ns0:c>
      <ns0:c r="C14" s="33" t="n"/>
      <ns0:c r="D14" s="10">
        <ns0:f>SUMIF(Transactions!G$2:G$1000, B14, Transactions!E$2:E$1000)</ns0:f>
        <ns0:v/>
      </ns0:c>
      <ns0:c r="F14" s="2" t="inlineStr">
        <ns0:is>
          <ns0:t>Education</ns0:t>
        </ns0:is>
      </ns0:c>
      <ns0:c r="G14" s="10" t="n">
        <ns0:v>5000</ns0:v>
      </ns0:c>
      <ns0:c r="H14" s="10">
        <ns0:f>SUMIFS(Transactions!E$2:E$1000, Transactions!D$2:D$1000, F14, Transactions!K$2:K$1000, "&lt;&gt;Transfer")</ns0:f>
        <ns0:v/>
      </ns0:c>
      <ns0:c r="I14" s="10">
        <ns0:f>G14-H14</ns0:f>
        <ns0:v/>
      </ns0:c>
      <ns0:c r="J14" s="4">
        <ns0:f>IF(G14&gt;0, H14/G14, 0)</ns0:f>
        <ns0:v/>
      </ns0:c>
      <ns0:c r="K14" s="2">
        <ns0:f>IF(H14&gt;G14, "Over Budget", "Within Budget")</ns0:f>
        <ns0:v/>
      </ns0:c>
    </ns0:row>
    <ns0:row r="15" ht="20.15" customHeight="1" s="36">
      <ns0:c r="B15" s="66" t="inlineStr">
        <ns0:is>
          <ns0:t>Axis Bank (...6181)</ns0:t>
        </ns0:is>
      </ns0:c>
      <ns0:c r="C15" s="33" t="n"/>
      <ns0:c r="D15" s="10">
        <ns0:f>SUMIF(Transactions!G$2:G$1000, B15, Transactions!E$2:E$1000)</ns0:f>
        <ns0:v/>
      </ns0:c>
      <ns0:c r="F15" s="2" t="inlineStr">
        <ns0:is>
          <ns0:t>Health</ns0:t>
        </ns0:is>
      </ns0:c>
      <ns0:c r="G15" s="10" t="n">
        <ns0:v>5000</ns0:v>
      </ns0:c>
      <ns0:c r="H15" s="10">
        <ns0:f>SUMIFS(Transactions!E$2:E$1000, Transactions!D$2:D$1000, F15, Transactions!K$2:K$1000, "&lt;&gt;Transfer")</ns0:f>
        <ns0:v/>
      </ns0:c>
      <ns0:c r="I15" s="10">
        <ns0:f>G15-H15</ns0:f>
        <ns0:v/>
      </ns0:c>
      <ns0:c r="J15" s="4">
        <ns0:f>IF(G15&gt;0, H15/G15, 0)</ns0:f>
        <ns0:v/>
      </ns0:c>
      <ns0:c r="K15" s="2">
        <ns0:f>IF(H15&gt;G15, "Over Budget", "Within Budget")</ns0:f>
        <ns0:v/>
      </ns0:c>
    </ns0:row>
    <ns0:row r="16" ht="20.15" customHeight="1" s="36">
      <ns0:c r="B16" s="66" t="inlineStr">
        <ns0:is>
          <ns0:t>Cash in Hand</ns0:t>
        </ns0:is>
      </ns0:c>
      <ns0:c r="C16" s="33" t="n"/>
      <ns0:c r="D16" s="10">
        <ns0:f>SUMIF(Transactions!G$2:G$1000, B16, Transactions!E$2:E$1000)</ns0:f>
        <ns0:v/>
      </ns0:c>
      <ns0:c r="F16" s="2" t="inlineStr">
        <ns0:is>
          <ns0:t>Eating Out</ns0:t>
        </ns0:is>
      </ns0:c>
      <ns0:c r="G16" s="10" t="n">
        <ns0:v>5000</ns0:v>
      </ns0:c>
      <ns0:c r="H16" s="10">
        <ns0:f>SUMIFS(Transactions!E$2:E$1000, Transactions!D$2:D$1000, F16, Transactions!K$2:K$1000, "&lt;&gt;Transfer")</ns0:f>
        <ns0:v/>
      </ns0:c>
      <ns0:c r="I16" s="10">
        <ns0:f>G16-H16</ns0:f>
        <ns0:v/>
      </ns0:c>
      <ns0:c r="J16" s="4">
        <ns0:f>IF(G16&gt;0, H16/G16, 0)</ns0:f>
        <ns0:v/>
      </ns0:c>
      <ns0:c r="K16" s="2">
        <ns0:f>IF(H16&gt;G16, "Over Budget", "Within Budget")</ns0:f>
        <ns0:v/>
      </ns0:c>
    </ns0:row>
    <ns0:row r="17" ht="20.15" customHeight="1" s="36">
      <ns0:c r="B17" s="67" t="inlineStr">
        <ns0:is>
          <ns0:t>TOTAL ALL OUTFLOWS</ns0:t>
        </ns0:is>
      </ns0:c>
      <ns0:c r="C17" s="33" t="n"/>
      <ns0:c r="D17" s="11">
        <ns0:f>SUM(D14:D16)</ns0:f>
        <ns0:v/>
      </ns0:c>
      <ns0:c r="F17" s="2" t="inlineStr">
        <ns0:is>
          <ns0:t>Shopping</ns0:t>
        </ns0:is>
      </ns0:c>
      <ns0:c r="G17" s="10" t="n">
        <ns0:v>4000</ns0:v>
      </ns0:c>
      <ns0:c r="H17" s="10">
        <ns0:f>SUMIFS(Transactions!E$2:E$1000, Transactions!D$2:D$1000, F17, Transactions!K$2:K$1000, "&lt;&gt;Transfer")</ns0:f>
        <ns0:v/>
      </ns0:c>
      <ns0:c r="I17" s="10">
        <ns0:f>G17-H17</ns0:f>
        <ns0:v/>
      </ns0:c>
      <ns0:c r="J17" s="4">
        <ns0:f>IF(G17&gt;0, H17/G17, 0)</ns0:f>
        <ns0:v/>
      </ns0:c>
      <ns0:c r="K17" s="2">
        <ns0:f>IF(H17&gt;G17, "Over Budget", "Within Budget")</ns0:f>
        <ns0:v/>
      </ns0:c>
    </ns0:row>
    <ns0:row r="18" ht="20.15" customHeight="1" s="36">
      <ns0:c r="F18" s="2" t="inlineStr">
        <ns0:is>
          <ns0:t>Entertainment</ns0:t>
        </ns0:is>
      </ns0:c>
      <ns0:c r="G18" s="10" t="n">
        <ns0:v>500</ns0:v>
      </ns0:c>
      <ns0:c r="H18" s="10">
        <ns0:f>SUMIFS(Transactions!E$2:E$1000, Transactions!D$2:D$1000, F18, Transactions!K$2:K$1000, "&lt;&gt;Transfer")</ns0:f>
        <ns0:v/>
      </ns0:c>
      <ns0:c r="I18" s="10">
        <ns0:f>G18-H18</ns0:f>
        <ns0:v/>
      </ns0:c>
      <ns0:c r="J18" s="4">
        <ns0:f>IF(G18&gt;0, H18/G18, 0)</ns0:f>
        <ns0:v/>
      </ns0:c>
      <ns0:c r="K18" s="2">
        <ns0:f>IF(H18&gt;G18, "Over Budget", "Within Budget")</ns0:f>
        <ns0:v/>
      </ns0:c>
    </ns0:row>
    <ns0:row r="19" ht="20.15" customHeight="1" s="36">
      <ns0:c r="B19" s="65" t="inlineStr">
        <ns0:is>
          <ns0:t>EXPENSES BY FAMILY MEMBER</ns0:t>
        </ns0:is>
      </ns0:c>
      <ns0:c r="C19" s="40" t="n"/>
      <ns0:c r="D19" s="33" t="n"/>
      <ns0:c r="F19" s="2" t="inlineStr">
        <ns0:is>
          <ns0:t>Family/Personal</ns0:t>
        </ns0:is>
      </ns0:c>
      <ns0:c r="G19" s="10" t="n">
        <ns0:v>5000</ns0:v>
      </ns0:c>
      <ns0:c r="H19" s="10">
        <ns0:f>SUMIFS(Transactions!E$2:E$1000, Transactions!D$2:D$1000, F19, Transactions!K$2:K$1000, "&lt;&gt;Transfer")</ns0:f>
        <ns0:v/>
      </ns0:c>
      <ns0:c r="I19" s="10">
        <ns0:f>G19-H19</ns0:f>
        <ns0:v/>
      </ns0:c>
      <ns0:c r="J19" s="4">
        <ns0:f>IF(G19&gt;0, H19/G19, 0)</ns0:f>
        <ns0:v/>
      </ns0:c>
      <ns0:c r="K19" s="2">
        <ns0:f>IF(H19&gt;G19, "Over Budget", "Within Budget")</ns0:f>
        <ns0:v/>
      </ns0:c>
    </ns0:row>
    <ns0:row r="20" ht="20.15" customHeight="1" s="36">
      <ns0:c r="B20" s="66" t="inlineStr">
        <ns0:is>
          <ns0:t>Arish</ns0:t>
        </ns0:is>
      </ns0:c>
      <ns0:c r="C20" s="33" t="n"/>
      <ns0:c r="D20" s="10">
        <ns0:f>SUMIFS(Transactions!E$2:E$1000, Transactions!L$2:L$1000, B20, Transactions!K$2:K$1000, "&lt;&gt;Transfer")</ns0:f>
        <ns0:v/>
      </ns0:c>
      <ns0:c r="F20" s="2" t="inlineStr">
        <ns0:is>
          <ns0:t>Financial</ns0:t>
        </ns0:is>
      </ns0:c>
      <ns0:c r="G20" s="10" t="n">
        <ns0:v>5000</ns0:v>
      </ns0:c>
      <ns0:c r="H20" s="10">
        <ns0:f>SUMIFS(Transactions!E$2:E$1000, Transactions!D$2:D$1000, F20, Transactions!K$2:K$1000, "&lt;&gt;Transfer")</ns0:f>
        <ns0:v/>
      </ns0:c>
      <ns0:c r="I20" s="10">
        <ns0:f>G20-H20</ns0:f>
        <ns0:v/>
      </ns0:c>
      <ns0:c r="J20" s="4">
        <ns0:f>IF(G20&gt;0, H20/G20, 0)</ns0:f>
        <ns0:v/>
      </ns0:c>
      <ns0:c r="K20" s="2">
        <ns0:f>IF(H20&gt;G20, "Over Budget", "Within Budget")</ns0:f>
        <ns0:v/>
      </ns0:c>
    </ns0:row>
    <ns0:row r="21" ht="20.15" customHeight="1" s="36">
      <ns0:c r="B21" s="66" t="inlineStr">
        <ns0:is>
          <ns0:t>Nahid</ns0:t>
        </ns0:is>
      </ns0:c>
      <ns0:c r="C21" s="33" t="n"/>
      <ns0:c r="D21" s="10">
        <ns0:f>SUMIFS(Transactions!E$2:E$1000, Transactions!L$2:L$1000, B21, Transactions!K$2:K$1000, "&lt;&gt;Transfer")</ns0:f>
        <ns0:v/>
      </ns0:c>
      <ns0:c r="F21" s="2" t="inlineStr">
        <ns0:is>
          <ns0:t>Other</ns0:t>
        </ns0:is>
      </ns0:c>
      <ns0:c r="G21" s="10" t="n">
        <ns0:v>5000</ns0:v>
      </ns0:c>
      <ns0:c r="H21" s="10">
        <ns0:f>SUMIFS(Transactions!E$2:E$1000, Transactions!D$2:D$1000, F21, Transactions!K$2:K$1000, "&lt;&gt;Transfer")</ns0:f>
        <ns0:v/>
      </ns0:c>
      <ns0:c r="I21" s="10">
        <ns0:f>G21-H21</ns0:f>
        <ns0:v/>
      </ns0:c>
      <ns0:c r="J21" s="4">
        <ns0:f>IF(G21&gt;0, H21/G21, 0)</ns0:f>
        <ns0:v/>
      </ns0:c>
      <ns0:c r="K21" s="2">
        <ns0:f>IF(H21&gt;G21, "Over Budget", "Within Budget")</ns0:f>
        <ns0:v/>
      </ns0:c>
    </ns0:row>
    <ns0:row r="22" ht="20.15" customHeight="1" s="36">
      <ns0:c r="B22" s="66" t="inlineStr">
        <ns0:is>
          <ns0:t>Shakir</ns0:t>
        </ns0:is>
      </ns0:c>
      <ns0:c r="C22" s="33" t="n"/>
      <ns0:c r="D22" s="10">
        <ns0:f>SUMIFS(Transactions!E$2:E$1000, Transactions!L$2:L$1000, B22, Transactions!K$2:K$1000, "&lt;&gt;Transfer")</ns0:f>
        <ns0:v/>
      </ns0:c>
      <ns0:c r="F22" s="6" t="inlineStr">
        <ns0:is>
          <ns0:t>TOTAL</ns0:t>
        </ns0:is>
      </ns0:c>
      <ns0:c r="G22" s="11">
        <ns0:f>SUM(G9:G21)</ns0:f>
        <ns0:v/>
      </ns0:c>
      <ns0:c r="H22" s="11">
        <ns0:f>SUM(H9:H21)</ns0:f>
        <ns0:v/>
      </ns0:c>
      <ns0:c r="I22" s="11">
        <ns0:f>G22-H22</ns0:f>
        <ns0:v/>
      </ns0:c>
      <ns0:c r="J22" s="5">
        <ns0:f>IF(G22&gt;0, H22/G22, 0)</ns0:f>
        <ns0:v/>
      </ns0:c>
      <ns0:c r="K22" s="6">
        <ns0:f>IF(H22&gt;G22, "Over Budget", "Within Budget")</ns0:f>
        <ns0:v/>
      </ns0:c>
    </ns0:row>
    <ns0:row r="23" ht="20.15" customHeight="1" s="36">
      <ns0:c r="B23" s="66" t="inlineStr">
        <ns0:is>
          <ns0:t>Family</ns0:t>
        </ns0:is>
      </ns0:c>
      <ns0:c r="C23" s="33" t="n"/>
      <ns0:c r="D23" s="10">
        <ns0:f>SUMIFS(Transactions!E$2:E$1000, Transactions!L$2:L$1000, B23, Transactions!K$2:K$1000, "&lt;&gt;Transfer")</ns0:f>
        <ns0:v/>
      </ns0:c>
    </ns0:row>
    <ns0:row r="24" ht="20.15" customHeight="1" s="36">
      <ns0:c r="B24" s="67" t="inlineStr">
        <ns0:is>
          <ns0:t>TOTAL EXPENSES</ns0:t>
        </ns0:is>
      </ns0:c>
      <ns0:c r="C24" s="33" t="n"/>
      <ns0:c r="D24" s="11">
        <ns0:f>SUM(D20:D23)</ns0:f>
        <ns0:v/>
      </ns0:c>
    </ns0:row>
  </ns0:sheetData>
  <ns0:mergeCells count="28">
    <ns0:mergeCell ref="F4:G4"/>
    <ns0:mergeCell ref="B16:C16"/>
    <ns0:mergeCell ref="B3:C3"/>
    <ns0:mergeCell ref="B8:D8"/>
    <ns0:mergeCell ref="B22:C22"/>
    <ns0:mergeCell ref="B13:D13"/>
    <ns0:mergeCell ref="H4:I4"/>
    <ns0:mergeCell ref="F3:G3"/>
    <ns0:mergeCell ref="L3:M3"/>
    <ns0:mergeCell ref="B21:C21"/>
    <ns0:mergeCell ref="B19:D19"/>
    <ns0:mergeCell ref="B11:C11"/>
    <ns0:mergeCell ref="B23:C23"/>
    <ns0:mergeCell ref="B14:C14"/>
    <ns0:mergeCell ref="B17:C17"/>
    <ns0:mergeCell ref="J4:K4"/>
    <ns0:mergeCell ref="L4:M4"/>
    <ns0:mergeCell ref="B10:C10"/>
    <ns0:mergeCell ref="D4:E4"/>
    <ns0:mergeCell ref="B9:C9"/>
    <ns0:mergeCell ref="D3:E3"/>
    <ns0:mergeCell ref="H3:I3"/>
    <ns0:mergeCell ref="J3:K3"/>
    <ns0:mergeCell ref="B24:C24"/>
    <ns0:mergeCell ref="B15:C15"/>
    <ns0:mergeCell ref="B1:N1"/>
    <ns0:mergeCell ref="B20:C20"/>
    <ns0:mergeCell ref="B4:C4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P39"/>
  <ns0:sheetViews>
    <ns0:sheetView topLeftCell="A11" workbookViewId="0">
      <ns0:selection activeCell="J5" sqref="J5"/>
    </ns0:sheetView>
  </ns0:sheetViews>
  <ns0:sheetFormatPr baseColWidth="8" defaultRowHeight="14.75"/>
  <ns0:cols>
    <ns0:col width="13" customWidth="1" style="36" min="1" max="1"/>
    <ns0:col width="12" customWidth="1" style="36" min="2" max="2"/>
    <ns0:col width="8" customWidth="1" style="36" min="3" max="3"/>
    <ns0:col width="16" customWidth="1" style="36" min="4" max="6"/>
    <ns0:col width="18" customWidth="1" style="36" min="7" max="8"/>
    <ns0:col width="49.54296875" customWidth="1" style="36" min="9" max="9"/>
    <ns0:col width="12.86328125" customWidth="1" style="36" min="10" max="10"/>
    <ns0:col width="30.1328125" customWidth="1" style="36" min="11" max="11"/>
    <ns0:col width="20" customWidth="1" style="36" min="12" max="12"/>
    <ns0:col width="18" customWidth="1" style="36" min="13" max="13"/>
    <ns0:col width="16" customWidth="1" style="36" min="14" max="14"/>
    <ns0:col width="12" customWidth="1" style="36" min="15" max="15"/>
    <ns0:col width="14" customWidth="1" style="36" min="16" max="16"/>
  </ns0:cols>
  <ns0:sheetData>
    <ns0:row r="1" ht="27.95" customHeight="1" s="36">
      <ns0:c r="A1" s="43" t="s">
        <ns0:is>
          <ns0:t>DAILY EXPENSE &amp; DATE-WISE SUMMARY — OCTOBER 2026</ns0:t>
        </ns0:is>
        <ns0:v>1</ns0:v>
      </ns0:c>
    </ns0:row>
    <ns0:row r="2" ht="18" customHeight="1" s="36">
      <ns0:c r="A2" s="45" t="inlineStr">
        <ns0:is>
          <ns0:t>Automated daily aggregation of transactions, separating Needs vs. Wants, Transfers, and Net Spending.</ns0:t>
        </ns0:is>
      </ns0:c>
    </ns0:row>
    <ns0:row r="4" ht="20.15" customHeight="1" s="36">
      <ns0:c r="A4" s="41" t="inlineStr">
        <ns0:is>
          <ns0:t>ACTIVE EXPENSE DAYS</ns0:t>
        </ns0:is>
      </ns0:c>
      <ns0:c r="B4" s="33" t="n"/>
      <ns0:c r="C4" s="41" t="inlineStr">
        <ns0:is>
          <ns0:t>AVERAGE DAILY SPEND</ns0:t>
        </ns0:is>
      </ns0:c>
      <ns0:c r="D4" s="33" t="n"/>
      <ns0:c r="E4" s="41" t="inlineStr">
        <ns0:is>
          <ns0:t>PEAK DAILY SPEND</ns0:t>
        </ns0:is>
      </ns0:c>
      <ns0:c r="F4" s="33" t="n"/>
      <ns0:c r="G4" s="41" t="inlineStr">
        <ns0:is>
          <ns0:t>TOTAL REAL EXPENSES</ns0:t>
        </ns0:is>
      </ns0:c>
      <ns0:c r="H4" s="33" t="n"/>
      <ns0:c r="I4" s="41" t="inlineStr">
        <ns0:is>
          <ns0:t>TOTAL TRANSFERS</ns0:t>
        </ns0:is>
      </ns0:c>
    </ns0:row>
    <ns0:row r="5" ht="27.95" customHeight="1" s="36">
      <ns0:c r="A5" s="47">
        <ns0:f>COUNTIF(G8:G38, "&gt;0")</ns0:f>
        <ns0:v/>
      </ns0:c>
      <ns0:c r="B5" s="33" t="n"/>
      <ns0:c r="C5" s="48">
        <ns0:f>AVERAGEIF(G8:G38, "&gt;0")</ns0:f>
        <ns0:v/>
      </ns0:c>
      <ns0:c r="D5" s="33" t="n"/>
      <ns0:c r="E5" s="48">
        <ns0:f>MAX(G8:G38)</ns0:f>
        <ns0:v/>
      </ns0:c>
      <ns0:c r="F5" s="33" t="n"/>
      <ns0:c r="G5" s="48">
        <ns0:f>SUM(G8:G38)</ns0:f>
        <ns0:v/>
      </ns0:c>
      <ns0:c r="H5" s="33" t="n"/>
      <ns0:c r="I5" s="48">
        <ns0:f>SUM(F8:F38)</ns0:f>
        <ns0:v/>
      </ns0:c>
    </ns0:row>
    <ns0:row r="7" ht="24" customHeight="1" s="36">
      <ns0:c r="A7" s="41" t="inlineStr">
        <ns0:is>
          <ns0:t>Date</ns0:t>
        </ns0:is>
      </ns0:c>
      <ns0:c r="B7" s="41" t="inlineStr">
        <ns0:is>
          <ns0:t>Day</ns0:t>
        </ns0:is>
      </ns0:c>
      <ns0:c r="C7" s="41" t="inlineStr">
        <ns0:is>
          <ns0:t>Txns</ns0:t>
        </ns0:is>
      </ns0:c>
      <ns0:c r="D7" s="41" t="inlineStr">
        <ns0:is>
          <ns0:t>Needs Total</ns0:t>
        </ns0:is>
      </ns0:c>
      <ns0:c r="E7" s="41" t="inlineStr">
        <ns0:is>
          <ns0:t>Wants Total</ns0:t>
        </ns0:is>
      </ns0:c>
      <ns0:c r="F7" s="41" t="inlineStr">
        <ns0:is>
          <ns0:t>Transfers</ns0:t>
        </ns0:is>
      </ns0:c>
      <ns0:c r="G7" s="41" t="inlineStr">
        <ns0:is>
          <ns0:t>Total Real Spent</ns0:t>
        </ns0:is>
      </ns0:c>
      <ns0:c r="H7" s="41" t="inlineStr">
        <ns0:is>
          <ns0:t>Total Day Outflow</ns0:t>
        </ns0:is>
      </ns0:c>
      <ns0:c r="I7" s="41" t="inlineStr">
        <ns0:is>
          <ns0:t>Daily Summary &amp; Notes</ns0:t>
        </ns0:is>
      </ns0:c>
      <ns0:c r="K7" s="41" t="inlineStr">
        <ns0:is>
          <ns0:t>INTERACTIVE SINGLE-DATE INSPECTOR &amp; DRILL-DOWN</ns0:t>
        </ns0:is>
      </ns0:c>
      <ns0:c r="L7" s="40" t="n"/>
      <ns0:c r="M7" s="40" t="n"/>
      <ns0:c r="N7" s="40" t="n"/>
      <ns0:c r="O7" s="40" t="n"/>
      <ns0:c r="P7" s="33" t="n"/>
    </ns0:row>
    <ns0:row r="8" ht="24" customHeight="1" s="36">
      <ns0:c r="A8" s="21" t="n">
        <ns0:v>46296</ns0:v>
      </ns0:c>
      <ns0:c r="B8" s="22">
        <ns0:f>TEXT(A8, "dddd")</ns0:f>
        <ns0:v/>
      </ns0:c>
      <ns0:c r="C8" s="22">
        <ns0:f>COUNTIF(Transactions!$A$2:$A$1000, A8)</ns0:f>
        <ns0:v/>
      </ns0:c>
      <ns0:c r="D8" s="23">
        <ns0:f>SUMIFS(Transactions!$E$2:$E$1000, Transactions!$A$2:$A$1000, A8, Transactions!$K$2:$K$1000, "Need")</ns0:f>
        <ns0:v/>
      </ns0:c>
      <ns0:c r="E8" s="23">
        <ns0:f>SUMIFS(Transactions!$E$2:$E$1000, Transactions!$A$2:$A$1000, A8, Transactions!$K$2:$K$1000, "Want")</ns0:f>
        <ns0:v/>
      </ns0:c>
      <ns0:c r="F8" s="23">
        <ns0:f>SUMIFS(Transactions!$E$2:$E$1000, Transactions!$A$2:$A$1000, A8, Transactions!$K$2:$K$1000, "Transfer")</ns0:f>
        <ns0:v/>
      </ns0:c>
      <ns0:c r="G8" s="44">
        <ns0:f>D8+E8</ns0:f>
        <ns0:v/>
      </ns0:c>
      <ns0:c r="H8" s="23">
        <ns0:f>G8+F8</ns0:f>
        <ns0:v/>
      </ns0:c>
      <ns0:c r="I8" s="25" t="inlineStr">
        <ns0:is>
          <ns0:t>Ice-cream personal craving (Anshul Baghel)</ns0:t>
        </ns0:is>
      </ns0:c>
      <ns0:c r="K8" s="46" t="inlineStr">
        <ns0:is>
          <ns0:t>Select Date to Inspect:</ns0:t>
        </ns0:is>
      </ns0:c>
      <ns0:c r="L8" s="68" t="n">
        <ns0:v>46304</ns0:v>
      </ns0:c>
      <ns0:c r="M8" s="49" t="inlineStr">
        <ns0:is>
          <ns0:t>&lt;- Change this date to inspect any day!</ns0:t>
        </ns0:is>
      </ns0:c>
      <ns0:c r="N8" s="40" t="n"/>
      <ns0:c r="O8" s="40" t="n"/>
      <ns0:c r="P8" s="33" t="n"/>
    </ns0:row>
    <ns0:row r="9" ht="20.15" customHeight="1" s="36">
      <ns0:c r="A9" s="21" t="n">
        <ns0:v>46297</ns0:v>
      </ns0:c>
      <ns0:c r="B9" s="22">
        <ns0:f>TEXT(A9, "dddd")</ns0:f>
        <ns0:v/>
      </ns0:c>
      <ns0:c r="C9" s="22">
        <ns0:f>COUNTIF(Transactions!$A$2:$A$1000, A9)</ns0:f>
        <ns0:v/>
      </ns0:c>
      <ns0:c r="D9" s="23">
        <ns0:f>SUMIFS(Transactions!$E$2:$E$1000, Transactions!$A$2:$A$1000, A9, Transactions!$K$2:$K$1000, "Need")</ns0:f>
        <ns0:v/>
      </ns0:c>
      <ns0:c r="E9" s="23">
        <ns0:f>SUMIFS(Transactions!$E$2:$E$1000, Transactions!$A$2:$A$1000, A9, Transactions!$K$2:$K$1000, "Want")</ns0:f>
        <ns0:v/>
      </ns0:c>
      <ns0:c r="F9" s="23">
        <ns0:f>SUMIFS(Transactions!$E$2:$E$1000, Transactions!$A$2:$A$1000, A9, Transactions!$K$2:$K$1000, "Transfer")</ns0:f>
        <ns0:v/>
      </ns0:c>
      <ns0:c r="G9" s="44">
        <ns0:f>D9+E9</ns0:f>
        <ns0:v/>
      </ns0:c>
      <ns0:c r="H9" s="23">
        <ns0:f>G9+F9</ns0:f>
        <ns0:v/>
      </ns0:c>
      <ns0:c r="I9" s="25" t="inlineStr">
        <ns0:is>
          <ns0:t>Chicken, college paper/folder, bread &amp; wafers</ns0:t>
        </ns0:is>
      </ns0:c>
    </ns0:row>
    <ns0:row r="10" ht="21.95" customHeight="1" s="36">
      <ns0:c r="A10" s="21" t="n">
        <ns0:v>46298</ns0:v>
      </ns0:c>
      <ns0:c r="B10" s="22">
        <ns0:f>TEXT(A10, "dddd")</ns0:f>
        <ns0:v/>
      </ns0:c>
      <ns0:c r="C10" s="22">
        <ns0:f>COUNTIF(Transactions!$A$2:$A$1000, A10)</ns0:f>
        <ns0:v/>
      </ns0:c>
      <ns0:c r="D10" s="23">
        <ns0:f>SUMIFS(Transactions!$E$2:$E$1000, Transactions!$A$2:$A$1000, A10, Transactions!$K$2:$K$1000, "Need")</ns0:f>
        <ns0:v/>
      </ns0:c>
      <ns0:c r="E10" s="23">
        <ns0:f>SUMIFS(Transactions!$E$2:$E$1000, Transactions!$A$2:$A$1000, A10, Transactions!$K$2:$K$1000, "Want")</ns0:f>
        <ns0:v/>
      </ns0:c>
      <ns0:c r="F10" s="23">
        <ns0:f>SUMIFS(Transactions!$E$2:$E$1000, Transactions!$A$2:$A$1000, A10, Transactions!$K$2:$K$1000, "Transfer")</ns0:f>
        <ns0:v/>
      </ns0:c>
      <ns0:c r="G10" s="44">
        <ns0:f>D10+E10</ns0:f>
        <ns0:v/>
      </ns0:c>
      <ns0:c r="H10" s="23">
        <ns0:f>G10+F10</ns0:f>
        <ns0:v/>
      </ns0:c>
      <ns0:c r="I10" s="25" t="inlineStr">
        <ns0:is>
          <ns0:t>D-Mart monthly groceries &amp; cat medical injection</ns0:t>
        </ns0:is>
      </ns0:c>
      <ns0:c r="K10" s="25" t="inlineStr">
        <ns0:is>
          <ns0:t>Transactions on This Date</ns0:t>
        </ns0:is>
      </ns0:c>
      <ns0:c r="L10" s="46">
        <ns0:f>COUNTIF(Transactions!$A$2:$A$1000, L8)</ns0:f>
        <ns0:v/>
      </ns0:c>
      <ns0:c r="M10" s="33" t="n"/>
      <ns0:c r="N10" s="42" t="n"/>
      <ns0:c r="O10" s="40" t="n"/>
      <ns0:c r="P10" s="33" t="n"/>
    </ns0:row>
    <ns0:row r="11" ht="21.95" customHeight="1" s="36">
      <ns0:c r="A11" s="21" t="n">
        <ns0:v>46299</ns0:v>
      </ns0:c>
      <ns0:c r="B11" s="22">
        <ns0:f>TEXT(A11, "dddd")</ns0:f>
        <ns0:v/>
      </ns0:c>
      <ns0:c r="C11" s="22">
        <ns0:f>COUNTIF(Transactions!$A$2:$A$1000, A11)</ns0:f>
        <ns0:v/>
      </ns0:c>
      <ns0:c r="D11" s="23">
        <ns0:f>SUMIFS(Transactions!$E$2:$E$1000, Transactions!$A$2:$A$1000, A11, Transactions!$K$2:$K$1000, "Need")</ns0:f>
        <ns0:v/>
      </ns0:c>
      <ns0:c r="E11" s="23">
        <ns0:f>SUMIFS(Transactions!$E$2:$E$1000, Transactions!$A$2:$A$1000, A11, Transactions!$K$2:$K$1000, "Want")</ns0:f>
        <ns0:v/>
      </ns0:c>
      <ns0:c r="F11" s="23">
        <ns0:f>SUMIFS(Transactions!$E$2:$E$1000, Transactions!$A$2:$A$1000, A11, Transactions!$K$2:$K$1000, "Transfer")</ns0:f>
        <ns0:v/>
      </ns0:c>
      <ns0:c r="G11" s="44">
        <ns0:f>D11+E11</ns0:f>
        <ns0:v/>
      </ns0:c>
      <ns0:c r="H11" s="23">
        <ns0:f>G11+F11</ns0:f>
        <ns0:v/>
      </ns0:c>
      <ns0:c r="I11" s="25" t="inlineStr">
        <ns0:is>
          <ns0:t>Weekly groceries, study stationery &amp; Instamart snacks</ns0:t>
        </ns0:is>
      </ns0:c>
      <ns0:c r="K11" s="25" t="inlineStr">
        <ns0:is>
          <ns0:t>Total Needs on This Date</ns0:t>
        </ns0:is>
      </ns0:c>
      <ns0:c r="L11" s="44">
        <ns0:f>SUMIFS(Transactions!$E$2:$E$1000, Transactions!$A$2:$A$1000, L8, Transactions!$K$2:$K$1000, "Need")</ns0:f>
        <ns0:v/>
      </ns0:c>
      <ns0:c r="M11" s="33" t="n"/>
      <ns0:c r="N11" s="42" t="n"/>
      <ns0:c r="O11" s="40" t="n"/>
      <ns0:c r="P11" s="33" t="n"/>
    </ns0:row>
    <ns0:row r="12" ht="21.95" customHeight="1" s="36">
      <ns0:c r="A12" s="21" t="n">
        <ns0:v>46300</ns0:v>
      </ns0:c>
      <ns0:c r="B12" s="22">
        <ns0:f>TEXT(A12, "dddd")</ns0:f>
        <ns0:v/>
      </ns0:c>
      <ns0:c r="C12" s="22">
        <ns0:f>COUNTIF(Transactions!$A$2:$A$1000, A12)</ns0:f>
        <ns0:v/>
      </ns0:c>
      <ns0:c r="D12" s="23">
        <ns0:f>SUMIFS(Transactions!$E$2:$E$1000, Transactions!$A$2:$A$1000, A12, Transactions!$K$2:$K$1000, "Need")</ns0:f>
        <ns0:v/>
      </ns0:c>
      <ns0:c r="E12" s="23">
        <ns0:f>SUMIFS(Transactions!$E$2:$E$1000, Transactions!$A$2:$A$1000, A12, Transactions!$K$2:$K$1000, "Want")</ns0:f>
        <ns0:v/>
      </ns0:c>
      <ns0:c r="F12" s="23">
        <ns0:f>SUMIFS(Transactions!$E$2:$E$1000, Transactions!$A$2:$A$1000, A12, Transactions!$K$2:$K$1000, "Transfer")</ns0:f>
        <ns0:v/>
      </ns0:c>
      <ns0:c r="G12" s="44">
        <ns0:f>D12+E12</ns0:f>
        <ns0:v/>
      </ns0:c>
      <ns0:c r="H12" s="23">
        <ns0:f>G12+F12</ns0:f>
        <ns0:v/>
      </ns0:c>
      <ns0:c r="I12" s="25" t="inlineStr">
        <ns0:is>
          <ns0:t>Monthly Digital Gold SIP &amp; miscellaneous payment</ns0:t>
        </ns0:is>
      </ns0:c>
      <ns0:c r="K12" s="25" t="inlineStr">
        <ns0:is>
          <ns0:t>Total Wants on This Date</ns0:t>
        </ns0:is>
      </ns0:c>
      <ns0:c r="L12" s="44">
        <ns0:f>SUMIFS(Transactions!$E$2:$E$1000, Transactions!$A$2:$A$1000, L8, Transactions!$K$2:$K$1000, "Want")</ns0:f>
        <ns0:v/>
      </ns0:c>
      <ns0:c r="M12" s="33" t="n"/>
      <ns0:c r="N12" s="42" t="n"/>
      <ns0:c r="O12" s="40" t="n"/>
      <ns0:c r="P12" s="33" t="n"/>
    </ns0:row>
    <ns0:row r="13" ht="21.95" customHeight="1" s="36">
      <ns0:c r="A13" s="21" t="n">
        <ns0:v>46301</ns0:v>
      </ns0:c>
      <ns0:c r="B13" s="22">
        <ns0:f>TEXT(A13, "dddd")</ns0:f>
        <ns0:v/>
      </ns0:c>
      <ns0:c r="C13" s="22">
        <ns0:f>COUNTIF(Transactions!$A$2:$A$1000, A13)</ns0:f>
        <ns0:v/>
      </ns0:c>
      <ns0:c r="D13" s="23">
        <ns0:f>SUMIFS(Transactions!$E$2:$E$1000, Transactions!$A$2:$A$1000, A13, Transactions!$K$2:$K$1000, "Need")</ns0:f>
        <ns0:v/>
      </ns0:c>
      <ns0:c r="E13" s="23">
        <ns0:f>SUMIFS(Transactions!$E$2:$E$1000, Transactions!$A$2:$A$1000, A13, Transactions!$K$2:$K$1000, "Want")</ns0:f>
        <ns0:v/>
      </ns0:c>
      <ns0:c r="F13" s="23">
        <ns0:f>SUMIFS(Transactions!$E$2:$E$1000, Transactions!$A$2:$A$1000, A13, Transactions!$K$2:$K$1000, "Transfer")</ns0:f>
        <ns0:v/>
      </ns0:c>
      <ns0:c r="G13" s="44">
        <ns0:f>D13+E13</ns0:f>
        <ns0:v/>
      </ns0:c>
      <ns0:c r="H13" s="23">
        <ns0:f>G13+F13</ns0:f>
        <ns0:v/>
      </ns0:c>
      <ns0:c r="I13" s="25" t="inlineStr">
        <ns0:is>
          <ns0:t>Petrol, Chai Leela pizza, Sohail cashout &amp; car pipe</ns0:t>
        </ns0:is>
      </ns0:c>
      <ns0:c r="K13" s="25" t="inlineStr">
        <ns0:is>
          <ns0:t>Total Transfers on This Date</ns0:t>
        </ns0:is>
      </ns0:c>
      <ns0:c r="L13" s="44">
        <ns0:f>SUMIFS(Transactions!$E$2:$E$1000, Transactions!$A$2:$A$1000, L8, Transactions!$K$2:$K$1000, "Transfer")</ns0:f>
        <ns0:v/>
      </ns0:c>
      <ns0:c r="M13" s="33" t="n"/>
      <ns0:c r="N13" s="42" t="n"/>
      <ns0:c r="O13" s="40" t="n"/>
      <ns0:c r="P13" s="33" t="n"/>
    </ns0:row>
    <ns0:row r="14" ht="21.95" customHeight="1" s="36">
      <ns0:c r="A14" s="21" t="n">
        <ns0:v>46302</ns0:v>
      </ns0:c>
      <ns0:c r="B14" s="22">
        <ns0:f>TEXT(A14, "dddd")</ns0:f>
        <ns0:v/>
      </ns0:c>
      <ns0:c r="C14" s="22">
        <ns0:f>COUNTIF(Transactions!$A$2:$A$1000, A14)</ns0:f>
        <ns0:v/>
      </ns0:c>
      <ns0:c r="D14" s="23">
        <ns0:f>SUMIFS(Transactions!$E$2:$E$1000, Transactions!$A$2:$A$1000, A14, Transactions!$K$2:$K$1000, "Need")</ns0:f>
        <ns0:v/>
      </ns0:c>
      <ns0:c r="E14" s="23">
        <ns0:f>SUMIFS(Transactions!$E$2:$E$1000, Transactions!$A$2:$A$1000, A14, Transactions!$K$2:$K$1000, "Want")</ns0:f>
        <ns0:v/>
      </ns0:c>
      <ns0:c r="F14" s="23">
        <ns0:f>SUMIFS(Transactions!$E$2:$E$1000, Transactions!$A$2:$A$1000, A14, Transactions!$K$2:$K$1000, "Transfer")</ns0:f>
        <ns0:v/>
      </ns0:c>
      <ns0:c r="G14" s="44">
        <ns0:f>D14+E14</ns0:f>
        <ns0:v/>
      </ns0:c>
      <ns0:c r="H14" s="23">
        <ns0:f>G14+F14</ns0:f>
        <ns0:v/>
      </ns0:c>
      <ns0:c r="I14" s="25" t="inlineStr">
        <ns0:is>
          <ns0:t>Electric supplies, Burhaan property fee, Kitkat, Bike taxi</ns0:t>
        </ns0:is>
      </ns0:c>
      <ns0:c r="K14" s="28" t="inlineStr">
        <ns0:is>
          <ns0:t>TOTAL REAL SPENT ON THIS DATE</ns0:t>
        </ns0:is>
      </ns0:c>
      <ns0:c r="L14" s="50">
        <ns0:f>L11+L12</ns0:f>
        <ns0:v/>
      </ns0:c>
      <ns0:c r="M14" s="33" t="n"/>
      <ns0:c r="N14" s="42" t="n"/>
      <ns0:c r="O14" s="40" t="n"/>
      <ns0:c r="P14" s="33" t="n"/>
    </ns0:row>
    <ns0:row r="15" ht="20.15" customHeight="1" s="36">
      <ns0:c r="A15" s="21" t="n">
        <ns0:v>46303</ns0:v>
      </ns0:c>
      <ns0:c r="B15" s="22">
        <ns0:f>TEXT(A15, "dddd")</ns0:f>
        <ns0:v/>
      </ns0:c>
      <ns0:c r="C15" s="22">
        <ns0:f>COUNTIF(Transactions!$A$2:$A$1000, A15)</ns0:f>
        <ns0:v/>
      </ns0:c>
      <ns0:c r="D15" s="23">
        <ns0:f>SUMIFS(Transactions!$E$2:$E$1000, Transactions!$A$2:$A$1000, A15, Transactions!$K$2:$K$1000, "Need")</ns0:f>
        <ns0:v/>
      </ns0:c>
      <ns0:c r="E15" s="23">
        <ns0:f>SUMIFS(Transactions!$E$2:$E$1000, Transactions!$A$2:$A$1000, A15, Transactions!$K$2:$K$1000, "Want")</ns0:f>
        <ns0:v/>
      </ns0:c>
      <ns0:c r="F15" s="23">
        <ns0:f>SUMIFS(Transactions!$E$2:$E$1000, Transactions!$A$2:$A$1000, A15, Transactions!$K$2:$K$1000, "Transfer")</ns0:f>
        <ns0:v/>
      </ns0:c>
      <ns0:c r="G15" s="44">
        <ns0:f>D15+E15</ns0:f>
        <ns0:v/>
      </ns0:c>
      <ns0:c r="H15" s="23">
        <ns0:f>G15+F15</ns0:f>
        <ns0:v/>
      </ns0:c>
      <ns0:c r="I15" s="25" t="inlineStr">
        <ns0:is>
          <ns0:t>College canteen snacks, Cab ride split, Burger Singh, KFC &amp; Auto</ns0:t>
        </ns0:is>
      </ns0:c>
    </ns0:row>
    <ns0:row r="16" ht="20.15" customHeight="1" s="36">
      <ns0:c r="A16" s="21" t="n">
        <ns0:v>46304</ns0:v>
      </ns0:c>
      <ns0:c r="B16" s="22">
        <ns0:f>TEXT(A16, "dddd")</ns0:f>
        <ns0:v/>
      </ns0:c>
      <ns0:c r="C16" s="22">
        <ns0:f>COUNTIF(Transactions!$A$2:$A$1000, A16)</ns0:f>
        <ns0:v/>
      </ns0:c>
      <ns0:c r="D16" s="23">
        <ns0:f>SUMIFS(Transactions!$E$2:$E$1000, Transactions!$A$2:$A$1000, A16, Transactions!$K$2:$K$1000, "Need")</ns0:f>
        <ns0:v/>
      </ns0:c>
      <ns0:c r="E16" s="23">
        <ns0:f>SUMIFS(Transactions!$E$2:$E$1000, Transactions!$A$2:$A$1000, A16, Transactions!$K$2:$K$1000, "Want")</ns0:f>
        <ns0:v/>
      </ns0:c>
      <ns0:c r="F16" s="23">
        <ns0:f>SUMIFS(Transactions!$E$2:$E$1000, Transactions!$A$2:$A$1000, A16, Transactions!$K$2:$K$1000, "Transfer")</ns0:f>
        <ns0:v/>
      </ns0:c>
      <ns0:c r="G16" s="44">
        <ns0:f>D16+E16</ns0:f>
        <ns0:v/>
      </ns0:c>
      <ns0:c r="H16" s="23">
        <ns0:f>G16+F16</ns0:f>
        <ns0:v/>
      </ns0:c>
      <ns0:c r="I16" s="25" t="inlineStr">
        <ns0:is>
          <ns0:t>POP/putty hardware, electricals, plumbing, electrician labour, Jio recharge &amp; petrol</ns0:t>
        </ns0:is>
      </ns0:c>
      <ns0:c r="K16" s="41" t="inlineStr">
        <ns0:is>
          <ns0:t>ALL TRANSACTIONS ON SELECTED DATE</ns0:t>
        </ns0:is>
      </ns0:c>
      <ns0:c r="L16" s="40" t="n"/>
      <ns0:c r="M16" s="40" t="n"/>
      <ns0:c r="N16" s="40" t="n"/>
      <ns0:c r="O16" s="40" t="n"/>
      <ns0:c r="P16" s="33" t="n"/>
    </ns0:row>
    <ns0:row r="17" ht="20.15" customHeight="1" s="36">
      <ns0:c r="A17" s="21" t="n">
        <ns0:v>46305</ns0:v>
      </ns0:c>
      <ns0:c r="B17" s="22">
        <ns0:f>TEXT(A17, "dddd")</ns0:f>
        <ns0:v/>
      </ns0:c>
      <ns0:c r="C17" s="22">
        <ns0:f>COUNTIF(Transactions!$A$2:$A$1000, A17)</ns0:f>
        <ns0:v/>
      </ns0:c>
      <ns0:c r="D17" s="23">
        <ns0:f>SUMIFS(Transactions!$E$2:$E$1000, Transactions!$A$2:$A$1000, A17, Transactions!$K$2:$K$1000, "Need")</ns0:f>
        <ns0:v/>
      </ns0:c>
      <ns0:c r="E17" s="23">
        <ns0:f>SUMIFS(Transactions!$E$2:$E$1000, Transactions!$A$2:$A$1000, A17, Transactions!$K$2:$K$1000, "Want")</ns0:f>
        <ns0:v/>
      </ns0:c>
      <ns0:c r="F17" s="23">
        <ns0:f>SUMIFS(Transactions!$E$2:$E$1000, Transactions!$A$2:$A$1000, A17, Transactions!$K$2:$K$1000, "Transfer")</ns0:f>
        <ns0:v/>
      </ns0:c>
      <ns0:c r="G17" s="44">
        <ns0:f>D17+E17</ns0:f>
        <ns0:v/>
      </ns0:c>
      <ns0:c r="H17" s="23">
        <ns0:f>G17+F17</ns0:f>
        <ns0:v/>
      </ns0:c>
      <ns0:c r="I17" s="25" t="inlineStr">
        <ns0:is>
          <ns0:t>--</ns0:t>
        </ns0:is>
      </ns0:c>
      <ns0:c r="K17" s="29" t="inlineStr">
        <ns0:is>
          <ns0:t>Time</ns0:t>
        </ns0:is>
      </ns0:c>
      <ns0:c r="L17" s="29" t="inlineStr">
        <ns0:is>
          <ns0:t>Expense Description</ns0:t>
        </ns0:is>
      </ns0:c>
      <ns0:c r="M17" s="29" t="inlineStr">
        <ns0:is>
          <ns0:t>Category</ns0:t>
        </ns0:is>
      </ns0:c>
      <ns0:c r="N17" s="29" t="inlineStr">
        <ns0:is>
          <ns0:t>Amount</ns0:t>
        </ns0:is>
      </ns0:c>
      <ns0:c r="O17" s="29" t="inlineStr">
        <ns0:is>
          <ns0:t>Type</ns0:t>
        </ns0:is>
      </ns0:c>
      <ns0:c r="P17" s="29" t="inlineStr">
        <ns0:is>
          <ns0:t>Member</ns0:t>
        </ns0:is>
      </ns0:c>
    </ns0:row>
    <ns0:row r="18" ht="20" customHeight="1" s="36">
      <ns0:c r="A18" s="21" t="n">
        <ns0:v>46306</ns0:v>
      </ns0:c>
      <ns0:c r="B18" s="22">
        <ns0:f>TEXT(A18, "dddd")</ns0:f>
        <ns0:v/>
      </ns0:c>
      <ns0:c r="C18" s="22">
        <ns0:f>COUNTIF(Transactions!$A$2:$A$1000, A18)</ns0:f>
        <ns0:v/>
      </ns0:c>
      <ns0:c r="D18" s="23">
        <ns0:f>SUMIFS(Transactions!$E$2:$E$1000, Transactions!$A$2:$A$1000, A18, Transactions!$K$2:$K$1000, "Need")</ns0:f>
        <ns0:v/>
      </ns0:c>
      <ns0:c r="E18" s="23">
        <ns0:f>SUMIFS(Transactions!$E$2:$E$1000, Transactions!$A$2:$A$1000, A18, Transactions!$K$2:$K$1000, "Want")</ns0:f>
        <ns0:v/>
      </ns0:c>
      <ns0:c r="F18" s="23">
        <ns0:f>SUMIFS(Transactions!$E$2:$E$1000, Transactions!$A$2:$A$1000, A18, Transactions!$K$2:$K$1000, "Transfer")</ns0:f>
        <ns0:v/>
      </ns0:c>
      <ns0:c r="G18" s="44">
        <ns0:f>D18+E18</ns0:f>
        <ns0:v/>
      </ns0:c>
      <ns0:c r="H18" s="23">
        <ns0:f>G18+F18</ns0:f>
        <ns0:v/>
      </ns0:c>
      <ns0:c r="I18" s="25" t="inlineStr">
        <ns0:is>
          <ns0:t>--</ns0:t>
        </ns0:is>
      </ns0:c>
      <ns0:c r="K18" s="61">
        <ns0:f>IFERROR(INDEX(Transactions!$B$2:$B$250, AGGREGATE(15, 6, (ROW(Transactions!$A$2:$A$250)-1)/(Transactions!$A$2:$A$250=$L$8), 1)), "")</ns0:f>
        <ns0:v/>
      </ns0:c>
      <ns0:c r="L18" s="59">
        <ns0:f>IFERROR(INDEX(Transactions!$C$2:$C$250, AGGREGATE(15, 6, (ROW(Transactions!$A$2:$A$250)-1)/(Transactions!$A$2:$A$250=$L$8), 1)), "")</ns0:f>
        <ns0:v/>
      </ns0:c>
      <ns0:c r="M18" s="61">
        <ns0:f>IFERROR(INDEX(Transactions!$D$2:$D$250, AGGREGATE(15, 6, (ROW(Transactions!$A$2:$A$250)-1)/(Transactions!$A$2:$A$250=$L$8), 1)), "")</ns0:f>
        <ns0:v/>
      </ns0:c>
      <ns0:c r="N18" s="60">
        <ns0:f>IFERROR(INDEX(Transactions!$E$2:$E$250, AGGREGATE(15, 6, (ROW(Transactions!$A$2:$A$250)-1)/(Transactions!$A$2:$A$250=$L$8), 1)), "")</ns0:f>
        <ns0:v/>
      </ns0:c>
      <ns0:c r="O18" s="61">
        <ns0:f>IFERROR(INDEX(Transactions!$K$2:$K$250, AGGREGATE(15, 6, (ROW(Transactions!$A$2:$A$250)-1)/(Transactions!$A$2:$A$250=$L$8), 1)), "")</ns0:f>
        <ns0:v/>
      </ns0:c>
      <ns0:c r="P18" s="61">
        <ns0:f>IFERROR(INDEX(Transactions!$L$2:$L$250, AGGREGATE(15, 6, (ROW(Transactions!$A$2:$A$250)-1)/(Transactions!$A$2:$A$250=$L$8), 1)), "")</ns0:f>
        <ns0:v/>
      </ns0:c>
    </ns0:row>
    <ns0:row r="19" ht="20" customHeight="1" s="36">
      <ns0:c r="A19" s="21" t="n">
        <ns0:v>46307</ns0:v>
      </ns0:c>
      <ns0:c r="B19" s="22">
        <ns0:f>TEXT(A19, "dddd")</ns0:f>
        <ns0:v/>
      </ns0:c>
      <ns0:c r="C19" s="22">
        <ns0:f>COUNTIF(Transactions!$A$2:$A$1000, A19)</ns0:f>
        <ns0:v/>
      </ns0:c>
      <ns0:c r="D19" s="23">
        <ns0:f>SUMIFS(Transactions!$E$2:$E$1000, Transactions!$A$2:$A$1000, A19, Transactions!$K$2:$K$1000, "Need")</ns0:f>
        <ns0:v/>
      </ns0:c>
      <ns0:c r="E19" s="23">
        <ns0:f>SUMIFS(Transactions!$E$2:$E$1000, Transactions!$A$2:$A$1000, A19, Transactions!$K$2:$K$1000, "Want")</ns0:f>
        <ns0:v/>
      </ns0:c>
      <ns0:c r="F19" s="23">
        <ns0:f>SUMIFS(Transactions!$E$2:$E$1000, Transactions!$A$2:$A$1000, A19, Transactions!$K$2:$K$1000, "Transfer")</ns0:f>
        <ns0:v/>
      </ns0:c>
      <ns0:c r="G19" s="44">
        <ns0:f>D19+E19</ns0:f>
        <ns0:v/>
      </ns0:c>
      <ns0:c r="H19" s="23">
        <ns0:f>G19+F19</ns0:f>
        <ns0:v/>
      </ns0:c>
      <ns0:c r="I19" s="25" t="inlineStr">
        <ns0:is>
          <ns0:t>--</ns0:t>
        </ns0:is>
      </ns0:c>
      <ns0:c r="K19" s="61">
        <ns0:f>IFERROR(INDEX(Transactions!$B$2:$B$250, AGGREGATE(15, 6, (ROW(Transactions!$A$2:$A$250)-1)/(Transactions!$A$2:$A$250=$L$8), 2)), "")</ns0:f>
        <ns0:v/>
      </ns0:c>
      <ns0:c r="L19" s="59">
        <ns0:f>IFERROR(INDEX(Transactions!$C$2:$C$250, AGGREGATE(15, 6, (ROW(Transactions!$A$2:$A$250)-1)/(Transactions!$A$2:$A$250=$L$8), 2)), "")</ns0:f>
        <ns0:v/>
      </ns0:c>
      <ns0:c r="M19" s="61">
        <ns0:f>IFERROR(INDEX(Transactions!$D$2:$D$250, AGGREGATE(15, 6, (ROW(Transactions!$A$2:$A$250)-1)/(Transactions!$A$2:$A$250=$L$8), 2)), "")</ns0:f>
        <ns0:v/>
      </ns0:c>
      <ns0:c r="N19" s="60">
        <ns0:f>IFERROR(INDEX(Transactions!$E$2:$E$250, AGGREGATE(15, 6, (ROW(Transactions!$A$2:$A$250)-1)/(Transactions!$A$2:$A$250=$L$8), 2)), "")</ns0:f>
        <ns0:v/>
      </ns0:c>
      <ns0:c r="O19" s="61">
        <ns0:f>IFERROR(INDEX(Transactions!$K$2:$K$250, AGGREGATE(15, 6, (ROW(Transactions!$A$2:$A$250)-1)/(Transactions!$A$2:$A$250=$L$8), 2)), "")</ns0:f>
        <ns0:v/>
      </ns0:c>
      <ns0:c r="P19" s="61">
        <ns0:f>IFERROR(INDEX(Transactions!$L$2:$L$250, AGGREGATE(15, 6, (ROW(Transactions!$A$2:$A$250)-1)/(Transactions!$A$2:$A$250=$L$8), 2)), "")</ns0:f>
        <ns0:v/>
      </ns0:c>
    </ns0:row>
    <ns0:row r="20" ht="20" customHeight="1" s="36">
      <ns0:c r="A20" s="21" t="n">
        <ns0:v>46308</ns0:v>
      </ns0:c>
      <ns0:c r="B20" s="22">
        <ns0:f>TEXT(A20, "dddd")</ns0:f>
        <ns0:v/>
      </ns0:c>
      <ns0:c r="C20" s="22">
        <ns0:f>COUNTIF(Transactions!$A$2:$A$1000, A20)</ns0:f>
        <ns0:v/>
      </ns0:c>
      <ns0:c r="D20" s="23">
        <ns0:f>SUMIFS(Transactions!$E$2:$E$1000, Transactions!$A$2:$A$1000, A20, Transactions!$K$2:$K$1000, "Need")</ns0:f>
        <ns0:v/>
      </ns0:c>
      <ns0:c r="E20" s="23">
        <ns0:f>SUMIFS(Transactions!$E$2:$E$1000, Transactions!$A$2:$A$1000, A20, Transactions!$K$2:$K$1000, "Want")</ns0:f>
        <ns0:v/>
      </ns0:c>
      <ns0:c r="F20" s="23">
        <ns0:f>SUMIFS(Transactions!$E$2:$E$1000, Transactions!$A$2:$A$1000, A20, Transactions!$K$2:$K$1000, "Transfer")</ns0:f>
        <ns0:v/>
      </ns0:c>
      <ns0:c r="G20" s="44">
        <ns0:f>D20+E20</ns0:f>
        <ns0:v/>
      </ns0:c>
      <ns0:c r="H20" s="23">
        <ns0:f>G20+F20</ns0:f>
        <ns0:v/>
      </ns0:c>
      <ns0:c r="I20" s="25" t="inlineStr">
        <ns0:is>
          <ns0:t>--</ns0:t>
        </ns0:is>
      </ns0:c>
      <ns0:c r="K20" s="61">
        <ns0:f>IFERROR(INDEX(Transactions!$B$2:$B$250, AGGREGATE(15, 6, (ROW(Transactions!$A$2:$A$250)-1)/(Transactions!$A$2:$A$250=$L$8), 3)), "")</ns0:f>
        <ns0:v/>
      </ns0:c>
      <ns0:c r="L20" s="59">
        <ns0:f>IFERROR(INDEX(Transactions!$C$2:$C$250, AGGREGATE(15, 6, (ROW(Transactions!$A$2:$A$250)-1)/(Transactions!$A$2:$A$250=$L$8), 3)), "")</ns0:f>
        <ns0:v/>
      </ns0:c>
      <ns0:c r="M20" s="61">
        <ns0:f>IFERROR(INDEX(Transactions!$D$2:$D$250, AGGREGATE(15, 6, (ROW(Transactions!$A$2:$A$250)-1)/(Transactions!$A$2:$A$250=$L$8), 3)), "")</ns0:f>
        <ns0:v/>
      </ns0:c>
      <ns0:c r="N20" s="60">
        <ns0:f>IFERROR(INDEX(Transactions!$E$2:$E$250, AGGREGATE(15, 6, (ROW(Transactions!$A$2:$A$250)-1)/(Transactions!$A$2:$A$250=$L$8), 3)), "")</ns0:f>
        <ns0:v/>
      </ns0:c>
      <ns0:c r="O20" s="61">
        <ns0:f>IFERROR(INDEX(Transactions!$K$2:$K$250, AGGREGATE(15, 6, (ROW(Transactions!$A$2:$A$250)-1)/(Transactions!$A$2:$A$250=$L$8), 3)), "")</ns0:f>
        <ns0:v/>
      </ns0:c>
      <ns0:c r="P20" s="61">
        <ns0:f>IFERROR(INDEX(Transactions!$L$2:$L$250, AGGREGATE(15, 6, (ROW(Transactions!$A$2:$A$250)-1)/(Transactions!$A$2:$A$250=$L$8), 3)), "")</ns0:f>
        <ns0:v/>
      </ns0:c>
    </ns0:row>
    <ns0:row r="21" ht="20" customHeight="1" s="36">
      <ns0:c r="A21" s="21" t="n">
        <ns0:v>46309</ns0:v>
      </ns0:c>
      <ns0:c r="B21" s="22">
        <ns0:f>TEXT(A21, "dddd")</ns0:f>
        <ns0:v/>
      </ns0:c>
      <ns0:c r="C21" s="22">
        <ns0:f>COUNTIF(Transactions!$A$2:$A$1000, A21)</ns0:f>
        <ns0:v/>
      </ns0:c>
      <ns0:c r="D21" s="23">
        <ns0:f>SUMIFS(Transactions!$E$2:$E$1000, Transactions!$A$2:$A$1000, A21, Transactions!$K$2:$K$1000, "Need")</ns0:f>
        <ns0:v/>
      </ns0:c>
      <ns0:c r="E21" s="23">
        <ns0:f>SUMIFS(Transactions!$E$2:$E$1000, Transactions!$A$2:$A$1000, A21, Transactions!$K$2:$K$1000, "Want")</ns0:f>
        <ns0:v/>
      </ns0:c>
      <ns0:c r="F21" s="23">
        <ns0:f>SUMIFS(Transactions!$E$2:$E$1000, Transactions!$A$2:$A$1000, A21, Transactions!$K$2:$K$1000, "Transfer")</ns0:f>
        <ns0:v/>
      </ns0:c>
      <ns0:c r="G21" s="44">
        <ns0:f>D21+E21</ns0:f>
        <ns0:v/>
      </ns0:c>
      <ns0:c r="H21" s="23">
        <ns0:f>G21+F21</ns0:f>
        <ns0:v/>
      </ns0:c>
      <ns0:c r="I21" s="25" t="inlineStr">
        <ns0:is>
          <ns0:t>--</ns0:t>
        </ns0:is>
      </ns0:c>
      <ns0:c r="K21" s="61">
        <ns0:f>IFERROR(INDEX(Transactions!$B$2:$B$250, AGGREGATE(15, 6, (ROW(Transactions!$A$2:$A$250)-1)/(Transactions!$A$2:$A$250=$L$8), 4)), "")</ns0:f>
        <ns0:v/>
      </ns0:c>
      <ns0:c r="L21" s="59">
        <ns0:f>IFERROR(INDEX(Transactions!$C$2:$C$250, AGGREGATE(15, 6, (ROW(Transactions!$A$2:$A$250)-1)/(Transactions!$A$2:$A$250=$L$8), 4)), "")</ns0:f>
        <ns0:v/>
      </ns0:c>
      <ns0:c r="M21" s="61">
        <ns0:f>IFERROR(INDEX(Transactions!$D$2:$D$250, AGGREGATE(15, 6, (ROW(Transactions!$A$2:$A$250)-1)/(Transactions!$A$2:$A$250=$L$8), 4)), "")</ns0:f>
        <ns0:v/>
      </ns0:c>
      <ns0:c r="N21" s="60">
        <ns0:f>IFERROR(INDEX(Transactions!$E$2:$E$250, AGGREGATE(15, 6, (ROW(Transactions!$A$2:$A$250)-1)/(Transactions!$A$2:$A$250=$L$8), 4)), "")</ns0:f>
        <ns0:v/>
      </ns0:c>
      <ns0:c r="O21" s="61">
        <ns0:f>IFERROR(INDEX(Transactions!$K$2:$K$250, AGGREGATE(15, 6, (ROW(Transactions!$A$2:$A$250)-1)/(Transactions!$A$2:$A$250=$L$8), 4)), "")</ns0:f>
        <ns0:v/>
      </ns0:c>
      <ns0:c r="P21" s="61">
        <ns0:f>IFERROR(INDEX(Transactions!$L$2:$L$250, AGGREGATE(15, 6, (ROW(Transactions!$A$2:$A$250)-1)/(Transactions!$A$2:$A$250=$L$8), 4)), "")</ns0:f>
        <ns0:v/>
      </ns0:c>
    </ns0:row>
    <ns0:row r="22" ht="20" customHeight="1" s="36">
      <ns0:c r="A22" s="21" t="n">
        <ns0:v>46310</ns0:v>
      </ns0:c>
      <ns0:c r="B22" s="22">
        <ns0:f>TEXT(A22, "dddd")</ns0:f>
        <ns0:v/>
      </ns0:c>
      <ns0:c r="C22" s="22">
        <ns0:f>COUNTIF(Transactions!$A$2:$A$1000, A22)</ns0:f>
        <ns0:v/>
      </ns0:c>
      <ns0:c r="D22" s="23">
        <ns0:f>SUMIFS(Transactions!$E$2:$E$1000, Transactions!$A$2:$A$1000, A22, Transactions!$K$2:$K$1000, "Need")</ns0:f>
        <ns0:v/>
      </ns0:c>
      <ns0:c r="E22" s="23">
        <ns0:f>SUMIFS(Transactions!$E$2:$E$1000, Transactions!$A$2:$A$1000, A22, Transactions!$K$2:$K$1000, "Want")</ns0:f>
        <ns0:v/>
      </ns0:c>
      <ns0:c r="F22" s="23">
        <ns0:f>SUMIFS(Transactions!$E$2:$E$1000, Transactions!$A$2:$A$1000, A22, Transactions!$K$2:$K$1000, "Transfer")</ns0:f>
        <ns0:v/>
      </ns0:c>
      <ns0:c r="G22" s="44">
        <ns0:f>D22+E22</ns0:f>
        <ns0:v/>
      </ns0:c>
      <ns0:c r="H22" s="23">
        <ns0:f>G22+F22</ns0:f>
        <ns0:v/>
      </ns0:c>
      <ns0:c r="I22" s="25" t="inlineStr">
        <ns0:is>
          <ns0:t>--</ns0:t>
        </ns0:is>
      </ns0:c>
      <ns0:c r="K22" s="61">
        <ns0:f>IFERROR(INDEX(Transactions!$B$2:$B$250, AGGREGATE(15, 6, (ROW(Transactions!$A$2:$A$250)-1)/(Transactions!$A$2:$A$250=$L$8), 5)), "")</ns0:f>
        <ns0:v/>
      </ns0:c>
      <ns0:c r="L22" s="59">
        <ns0:f>IFERROR(INDEX(Transactions!$C$2:$C$250, AGGREGATE(15, 6, (ROW(Transactions!$A$2:$A$250)-1)/(Transactions!$A$2:$A$250=$L$8), 5)), "")</ns0:f>
        <ns0:v/>
      </ns0:c>
      <ns0:c r="M22" s="61">
        <ns0:f>IFERROR(INDEX(Transactions!$D$2:$D$250, AGGREGATE(15, 6, (ROW(Transactions!$A$2:$A$250)-1)/(Transactions!$A$2:$A$250=$L$8), 5)), "")</ns0:f>
        <ns0:v/>
      </ns0:c>
      <ns0:c r="N22" s="60">
        <ns0:f>IFERROR(INDEX(Transactions!$E$2:$E$250, AGGREGATE(15, 6, (ROW(Transactions!$A$2:$A$250)-1)/(Transactions!$A$2:$A$250=$L$8), 5)), "")</ns0:f>
        <ns0:v/>
      </ns0:c>
      <ns0:c r="O22" s="61">
        <ns0:f>IFERROR(INDEX(Transactions!$K$2:$K$250, AGGREGATE(15, 6, (ROW(Transactions!$A$2:$A$250)-1)/(Transactions!$A$2:$A$250=$L$8), 5)), "")</ns0:f>
        <ns0:v/>
      </ns0:c>
      <ns0:c r="P22" s="61">
        <ns0:f>IFERROR(INDEX(Transactions!$L$2:$L$250, AGGREGATE(15, 6, (ROW(Transactions!$A$2:$A$250)-1)/(Transactions!$A$2:$A$250=$L$8), 5)), "")</ns0:f>
        <ns0:v/>
      </ns0:c>
    </ns0:row>
    <ns0:row r="23" ht="20" customHeight="1" s="36">
      <ns0:c r="A23" s="21" t="n">
        <ns0:v>46311</ns0:v>
      </ns0:c>
      <ns0:c r="B23" s="22">
        <ns0:f>TEXT(A23, "dddd")</ns0:f>
        <ns0:v/>
      </ns0:c>
      <ns0:c r="C23" s="22">
        <ns0:f>COUNTIF(Transactions!$A$2:$A$1000, A23)</ns0:f>
        <ns0:v/>
      </ns0:c>
      <ns0:c r="D23" s="23">
        <ns0:f>SUMIFS(Transactions!$E$2:$E$1000, Transactions!$A$2:$A$1000, A23, Transactions!$K$2:$K$1000, "Need")</ns0:f>
        <ns0:v/>
      </ns0:c>
      <ns0:c r="E23" s="23">
        <ns0:f>SUMIFS(Transactions!$E$2:$E$1000, Transactions!$A$2:$A$1000, A23, Transactions!$K$2:$K$1000, "Want")</ns0:f>
        <ns0:v/>
      </ns0:c>
      <ns0:c r="F23" s="23">
        <ns0:f>SUMIFS(Transactions!$E$2:$E$1000, Transactions!$A$2:$A$1000, A23, Transactions!$K$2:$K$1000, "Transfer")</ns0:f>
        <ns0:v/>
      </ns0:c>
      <ns0:c r="G23" s="44">
        <ns0:f>D23+E23</ns0:f>
        <ns0:v/>
      </ns0:c>
      <ns0:c r="H23" s="23">
        <ns0:f>G23+F23</ns0:f>
        <ns0:v/>
      </ns0:c>
      <ns0:c r="I23" s="25" t="inlineStr">
        <ns0:is>
          <ns0:t>--</ns0:t>
        </ns0:is>
      </ns0:c>
      <ns0:c r="K23" s="61">
        <ns0:f>IFERROR(INDEX(Transactions!$B$2:$B$250, AGGREGATE(15, 6, (ROW(Transactions!$A$2:$A$250)-1)/(Transactions!$A$2:$A$250=$L$8), 6)), "")</ns0:f>
        <ns0:v/>
      </ns0:c>
      <ns0:c r="L23" s="59">
        <ns0:f>IFERROR(INDEX(Transactions!$C$2:$C$250, AGGREGATE(15, 6, (ROW(Transactions!$A$2:$A$250)-1)/(Transactions!$A$2:$A$250=$L$8), 6)), "")</ns0:f>
        <ns0:v/>
      </ns0:c>
      <ns0:c r="M23" s="61">
        <ns0:f>IFERROR(INDEX(Transactions!$D$2:$D$250, AGGREGATE(15, 6, (ROW(Transactions!$A$2:$A$250)-1)/(Transactions!$A$2:$A$250=$L$8), 6)), "")</ns0:f>
        <ns0:v/>
      </ns0:c>
      <ns0:c r="N23" s="60">
        <ns0:f>IFERROR(INDEX(Transactions!$E$2:$E$250, AGGREGATE(15, 6, (ROW(Transactions!$A$2:$A$250)-1)/(Transactions!$A$2:$A$250=$L$8), 6)), "")</ns0:f>
        <ns0:v/>
      </ns0:c>
      <ns0:c r="O23" s="61">
        <ns0:f>IFERROR(INDEX(Transactions!$K$2:$K$250, AGGREGATE(15, 6, (ROW(Transactions!$A$2:$A$250)-1)/(Transactions!$A$2:$A$250=$L$8), 6)), "")</ns0:f>
        <ns0:v/>
      </ns0:c>
      <ns0:c r="P23" s="61">
        <ns0:f>IFERROR(INDEX(Transactions!$L$2:$L$250, AGGREGATE(15, 6, (ROW(Transactions!$A$2:$A$250)-1)/(Transactions!$A$2:$A$250=$L$8), 6)), "")</ns0:f>
        <ns0:v/>
      </ns0:c>
    </ns0:row>
    <ns0:row r="24" ht="20" customHeight="1" s="36">
      <ns0:c r="A24" s="21" t="n">
        <ns0:v>46312</ns0:v>
      </ns0:c>
      <ns0:c r="B24" s="22">
        <ns0:f>TEXT(A24, "dddd")</ns0:f>
        <ns0:v/>
      </ns0:c>
      <ns0:c r="C24" s="22">
        <ns0:f>COUNTIF(Transactions!$A$2:$A$1000, A24)</ns0:f>
        <ns0:v/>
      </ns0:c>
      <ns0:c r="D24" s="23">
        <ns0:f>SUMIFS(Transactions!$E$2:$E$1000, Transactions!$A$2:$A$1000, A24, Transactions!$K$2:$K$1000, "Need")</ns0:f>
        <ns0:v/>
      </ns0:c>
      <ns0:c r="E24" s="23">
        <ns0:f>SUMIFS(Transactions!$E$2:$E$1000, Transactions!$A$2:$A$1000, A24, Transactions!$K$2:$K$1000, "Want")</ns0:f>
        <ns0:v/>
      </ns0:c>
      <ns0:c r="F24" s="23">
        <ns0:f>SUMIFS(Transactions!$E$2:$E$1000, Transactions!$A$2:$A$1000, A24, Transactions!$K$2:$K$1000, "Transfer")</ns0:f>
        <ns0:v/>
      </ns0:c>
      <ns0:c r="G24" s="44">
        <ns0:f>D24+E24</ns0:f>
        <ns0:v/>
      </ns0:c>
      <ns0:c r="H24" s="23">
        <ns0:f>G24+F24</ns0:f>
        <ns0:v/>
      </ns0:c>
      <ns0:c r="I24" s="25" t="inlineStr">
        <ns0:is>
          <ns0:t>--</ns0:t>
        </ns0:is>
      </ns0:c>
      <ns0:c r="K24" s="61">
        <ns0:f>IFERROR(INDEX(Transactions!$B$2:$B$250, AGGREGATE(15, 6, (ROW(Transactions!$A$2:$A$250)-1)/(Transactions!$A$2:$A$250=$L$8), 7)), "")</ns0:f>
        <ns0:v/>
      </ns0:c>
      <ns0:c r="L24" s="59">
        <ns0:f>IFERROR(INDEX(Transactions!$C$2:$C$250, AGGREGATE(15, 6, (ROW(Transactions!$A$2:$A$250)-1)/(Transactions!$A$2:$A$250=$L$8), 7)), "")</ns0:f>
        <ns0:v/>
      </ns0:c>
      <ns0:c r="M24" s="61">
        <ns0:f>IFERROR(INDEX(Transactions!$D$2:$D$250, AGGREGATE(15, 6, (ROW(Transactions!$A$2:$A$250)-1)/(Transactions!$A$2:$A$250=$L$8), 7)), "")</ns0:f>
        <ns0:v/>
      </ns0:c>
      <ns0:c r="N24" s="60">
        <ns0:f>IFERROR(INDEX(Transactions!$E$2:$E$250, AGGREGATE(15, 6, (ROW(Transactions!$A$2:$A$250)-1)/(Transactions!$A$2:$A$250=$L$8), 7)), "")</ns0:f>
        <ns0:v/>
      </ns0:c>
      <ns0:c r="O24" s="61">
        <ns0:f>IFERROR(INDEX(Transactions!$K$2:$K$250, AGGREGATE(15, 6, (ROW(Transactions!$A$2:$A$250)-1)/(Transactions!$A$2:$A$250=$L$8), 7)), "")</ns0:f>
        <ns0:v/>
      </ns0:c>
      <ns0:c r="P24" s="61">
        <ns0:f>IFERROR(INDEX(Transactions!$L$2:$L$250, AGGREGATE(15, 6, (ROW(Transactions!$A$2:$A$250)-1)/(Transactions!$A$2:$A$250=$L$8), 7)), "")</ns0:f>
        <ns0:v/>
      </ns0:c>
    </ns0:row>
    <ns0:row r="25" ht="20" customHeight="1" s="36">
      <ns0:c r="A25" s="21" t="n">
        <ns0:v>46313</ns0:v>
      </ns0:c>
      <ns0:c r="B25" s="22">
        <ns0:f>TEXT(A25, "dddd")</ns0:f>
        <ns0:v/>
      </ns0:c>
      <ns0:c r="C25" s="22">
        <ns0:f>COUNTIF(Transactions!$A$2:$A$1000, A25)</ns0:f>
        <ns0:v/>
      </ns0:c>
      <ns0:c r="D25" s="23">
        <ns0:f>SUMIFS(Transactions!$E$2:$E$1000, Transactions!$A$2:$A$1000, A25, Transactions!$K$2:$K$1000, "Need")</ns0:f>
        <ns0:v/>
      </ns0:c>
      <ns0:c r="E25" s="23">
        <ns0:f>SUMIFS(Transactions!$E$2:$E$1000, Transactions!$A$2:$A$1000, A25, Transactions!$K$2:$K$1000, "Want")</ns0:f>
        <ns0:v/>
      </ns0:c>
      <ns0:c r="F25" s="23">
        <ns0:f>SUMIFS(Transactions!$E$2:$E$1000, Transactions!$A$2:$A$1000, A25, Transactions!$K$2:$K$1000, "Transfer")</ns0:f>
        <ns0:v/>
      </ns0:c>
      <ns0:c r="G25" s="44">
        <ns0:f>D25+E25</ns0:f>
        <ns0:v/>
      </ns0:c>
      <ns0:c r="H25" s="23">
        <ns0:f>G25+F25</ns0:f>
        <ns0:v/>
      </ns0:c>
      <ns0:c r="I25" s="25" t="inlineStr">
        <ns0:is>
          <ns0:t>--</ns0:t>
        </ns0:is>
      </ns0:c>
      <ns0:c r="K25" s="61">
        <ns0:f>IFERROR(INDEX(Transactions!$B$2:$B$250, AGGREGATE(15, 6, (ROW(Transactions!$A$2:$A$250)-1)/(Transactions!$A$2:$A$250=$L$8), 8)), "")</ns0:f>
        <ns0:v/>
      </ns0:c>
      <ns0:c r="L25" s="59">
        <ns0:f>IFERROR(INDEX(Transactions!$C$2:$C$250, AGGREGATE(15, 6, (ROW(Transactions!$A$2:$A$250)-1)/(Transactions!$A$2:$A$250=$L$8), 8)), "")</ns0:f>
        <ns0:v/>
      </ns0:c>
      <ns0:c r="M25" s="61">
        <ns0:f>IFERROR(INDEX(Transactions!$D$2:$D$250, AGGREGATE(15, 6, (ROW(Transactions!$A$2:$A$250)-1)/(Transactions!$A$2:$A$250=$L$8), 8)), "")</ns0:f>
        <ns0:v/>
      </ns0:c>
      <ns0:c r="N25" s="60">
        <ns0:f>IFERROR(INDEX(Transactions!$E$2:$E$250, AGGREGATE(15, 6, (ROW(Transactions!$A$2:$A$250)-1)/(Transactions!$A$2:$A$250=$L$8), 8)), "")</ns0:f>
        <ns0:v/>
      </ns0:c>
      <ns0:c r="O25" s="61">
        <ns0:f>IFERROR(INDEX(Transactions!$K$2:$K$250, AGGREGATE(15, 6, (ROW(Transactions!$A$2:$A$250)-1)/(Transactions!$A$2:$A$250=$L$8), 8)), "")</ns0:f>
        <ns0:v/>
      </ns0:c>
      <ns0:c r="P25" s="61">
        <ns0:f>IFERROR(INDEX(Transactions!$L$2:$L$250, AGGREGATE(15, 6, (ROW(Transactions!$A$2:$A$250)-1)/(Transactions!$A$2:$A$250=$L$8), 8)), "")</ns0:f>
        <ns0:v/>
      </ns0:c>
    </ns0:row>
    <ns0:row r="26" ht="20" customHeight="1" s="36">
      <ns0:c r="A26" s="21" t="n">
        <ns0:v>46314</ns0:v>
      </ns0:c>
      <ns0:c r="B26" s="22">
        <ns0:f>TEXT(A26, "dddd")</ns0:f>
        <ns0:v/>
      </ns0:c>
      <ns0:c r="C26" s="22">
        <ns0:f>COUNTIF(Transactions!$A$2:$A$1000, A26)</ns0:f>
        <ns0:v/>
      </ns0:c>
      <ns0:c r="D26" s="23">
        <ns0:f>SUMIFS(Transactions!$E$2:$E$1000, Transactions!$A$2:$A$1000, A26, Transactions!$K$2:$K$1000, "Need")</ns0:f>
        <ns0:v/>
      </ns0:c>
      <ns0:c r="E26" s="23">
        <ns0:f>SUMIFS(Transactions!$E$2:$E$1000, Transactions!$A$2:$A$1000, A26, Transactions!$K$2:$K$1000, "Want")</ns0:f>
        <ns0:v/>
      </ns0:c>
      <ns0:c r="F26" s="23">
        <ns0:f>SUMIFS(Transactions!$E$2:$E$1000, Transactions!$A$2:$A$1000, A26, Transactions!$K$2:$K$1000, "Transfer")</ns0:f>
        <ns0:v/>
      </ns0:c>
      <ns0:c r="G26" s="44">
        <ns0:f>D26+E26</ns0:f>
        <ns0:v/>
      </ns0:c>
      <ns0:c r="H26" s="23">
        <ns0:f>G26+F26</ns0:f>
        <ns0:v/>
      </ns0:c>
      <ns0:c r="I26" s="25" t="inlineStr">
        <ns0:is>
          <ns0:t>--</ns0:t>
        </ns0:is>
      </ns0:c>
      <ns0:c r="K26" s="61">
        <ns0:f>IFERROR(INDEX(Transactions!$B$2:$B$250, AGGREGATE(15, 6, (ROW(Transactions!$A$2:$A$250)-1)/(Transactions!$A$2:$A$250=$L$8), 9)), "")</ns0:f>
        <ns0:v/>
      </ns0:c>
      <ns0:c r="L26" s="59">
        <ns0:f>IFERROR(INDEX(Transactions!$C$2:$C$250, AGGREGATE(15, 6, (ROW(Transactions!$A$2:$A$250)-1)/(Transactions!$A$2:$A$250=$L$8), 9)), "")</ns0:f>
        <ns0:v/>
      </ns0:c>
      <ns0:c r="M26" s="61">
        <ns0:f>IFERROR(INDEX(Transactions!$D$2:$D$250, AGGREGATE(15, 6, (ROW(Transactions!$A$2:$A$250)-1)/(Transactions!$A$2:$A$250=$L$8), 9)), "")</ns0:f>
        <ns0:v/>
      </ns0:c>
      <ns0:c r="N26" s="60">
        <ns0:f>IFERROR(INDEX(Transactions!$E$2:$E$250, AGGREGATE(15, 6, (ROW(Transactions!$A$2:$A$250)-1)/(Transactions!$A$2:$A$250=$L$8), 9)), "")</ns0:f>
        <ns0:v/>
      </ns0:c>
      <ns0:c r="O26" s="61">
        <ns0:f>IFERROR(INDEX(Transactions!$K$2:$K$250, AGGREGATE(15, 6, (ROW(Transactions!$A$2:$A$250)-1)/(Transactions!$A$2:$A$250=$L$8), 9)), "")</ns0:f>
        <ns0:v/>
      </ns0:c>
      <ns0:c r="P26" s="61">
        <ns0:f>IFERROR(INDEX(Transactions!$L$2:$L$250, AGGREGATE(15, 6, (ROW(Transactions!$A$2:$A$250)-1)/(Transactions!$A$2:$A$250=$L$8), 9)), "")</ns0:f>
        <ns0:v/>
      </ns0:c>
    </ns0:row>
    <ns0:row r="27" ht="20" customHeight="1" s="36">
      <ns0:c r="A27" s="21" t="n">
        <ns0:v>46315</ns0:v>
      </ns0:c>
      <ns0:c r="B27" s="22">
        <ns0:f>TEXT(A27, "dddd")</ns0:f>
        <ns0:v/>
      </ns0:c>
      <ns0:c r="C27" s="22">
        <ns0:f>COUNTIF(Transactions!$A$2:$A$1000, A27)</ns0:f>
        <ns0:v/>
      </ns0:c>
      <ns0:c r="D27" s="23">
        <ns0:f>SUMIFS(Transactions!$E$2:$E$1000, Transactions!$A$2:$A$1000, A27, Transactions!$K$2:$K$1000, "Need")</ns0:f>
        <ns0:v/>
      </ns0:c>
      <ns0:c r="E27" s="23">
        <ns0:f>SUMIFS(Transactions!$E$2:$E$1000, Transactions!$A$2:$A$1000, A27, Transactions!$K$2:$K$1000, "Want")</ns0:f>
        <ns0:v/>
      </ns0:c>
      <ns0:c r="F27" s="23">
        <ns0:f>SUMIFS(Transactions!$E$2:$E$1000, Transactions!$A$2:$A$1000, A27, Transactions!$K$2:$K$1000, "Transfer")</ns0:f>
        <ns0:v/>
      </ns0:c>
      <ns0:c r="G27" s="44">
        <ns0:f>D27+E27</ns0:f>
        <ns0:v/>
      </ns0:c>
      <ns0:c r="H27" s="23">
        <ns0:f>G27+F27</ns0:f>
        <ns0:v/>
      </ns0:c>
      <ns0:c r="I27" s="25" t="inlineStr">
        <ns0:is>
          <ns0:t>--</ns0:t>
        </ns0:is>
      </ns0:c>
      <ns0:c r="K27" s="61">
        <ns0:f>IFERROR(INDEX(Transactions!$B$2:$B$250, AGGREGATE(15, 6, (ROW(Transactions!$A$2:$A$250)-1)/(Transactions!$A$2:$A$250=$L$8), 10)), "")</ns0:f>
        <ns0:v/>
      </ns0:c>
      <ns0:c r="L27" s="59">
        <ns0:f>IFERROR(INDEX(Transactions!$C$2:$C$250, AGGREGATE(15, 6, (ROW(Transactions!$A$2:$A$250)-1)/(Transactions!$A$2:$A$250=$L$8), 10)), "")</ns0:f>
        <ns0:v/>
      </ns0:c>
      <ns0:c r="M27" s="61">
        <ns0:f>IFERROR(INDEX(Transactions!$D$2:$D$250, AGGREGATE(15, 6, (ROW(Transactions!$A$2:$A$250)-1)/(Transactions!$A$2:$A$250=$L$8), 10)), "")</ns0:f>
        <ns0:v/>
      </ns0:c>
      <ns0:c r="N27" s="60">
        <ns0:f>IFERROR(INDEX(Transactions!$E$2:$E$250, AGGREGATE(15, 6, (ROW(Transactions!$A$2:$A$250)-1)/(Transactions!$A$2:$A$250=$L$8), 10)), "")</ns0:f>
        <ns0:v/>
      </ns0:c>
      <ns0:c r="O27" s="61">
        <ns0:f>IFERROR(INDEX(Transactions!$K$2:$K$250, AGGREGATE(15, 6, (ROW(Transactions!$A$2:$A$250)-1)/(Transactions!$A$2:$A$250=$L$8), 10)), "")</ns0:f>
        <ns0:v/>
      </ns0:c>
      <ns0:c r="P27" s="61">
        <ns0:f>IFERROR(INDEX(Transactions!$L$2:$L$250, AGGREGATE(15, 6, (ROW(Transactions!$A$2:$A$250)-1)/(Transactions!$A$2:$A$250=$L$8), 10)), "")</ns0:f>
        <ns0:v/>
      </ns0:c>
    </ns0:row>
    <ns0:row r="28" ht="20.15" customHeight="1" s="36">
      <ns0:c r="A28" s="21" t="n">
        <ns0:v>46316</ns0:v>
      </ns0:c>
      <ns0:c r="B28" s="22">
        <ns0:f>TEXT(A28, "dddd")</ns0:f>
        <ns0:v/>
      </ns0:c>
      <ns0:c r="C28" s="22">
        <ns0:f>COUNTIF(Transactions!$A$2:$A$1000, A28)</ns0:f>
        <ns0:v/>
      </ns0:c>
      <ns0:c r="D28" s="23">
        <ns0:f>SUMIFS(Transactions!$E$2:$E$1000, Transactions!$A$2:$A$1000, A28, Transactions!$K$2:$K$1000, "Need")</ns0:f>
        <ns0:v/>
      </ns0:c>
      <ns0:c r="E28" s="23">
        <ns0:f>SUMIFS(Transactions!$E$2:$E$1000, Transactions!$A$2:$A$1000, A28, Transactions!$K$2:$K$1000, "Want")</ns0:f>
        <ns0:v/>
      </ns0:c>
      <ns0:c r="F28" s="23">
        <ns0:f>SUMIFS(Transactions!$E$2:$E$1000, Transactions!$A$2:$A$1000, A28, Transactions!$K$2:$K$1000, "Transfer")</ns0:f>
        <ns0:v/>
      </ns0:c>
      <ns0:c r="G28" s="44">
        <ns0:f>D28+E28</ns0:f>
        <ns0:v/>
      </ns0:c>
      <ns0:c r="H28" s="23">
        <ns0:f>G28+F28</ns0:f>
        <ns0:v/>
      </ns0:c>
      <ns0:c r="I28" s="25" t="inlineStr">
        <ns0:is>
          <ns0:t>--</ns0:t>
        </ns0:is>
      </ns0:c>
    </ns0:row>
    <ns0:row r="29" ht="20.15" customHeight="1" s="36">
      <ns0:c r="A29" s="21" t="n">
        <ns0:v>46317</ns0:v>
      </ns0:c>
      <ns0:c r="B29" s="22">
        <ns0:f>TEXT(A29, "dddd")</ns0:f>
        <ns0:v/>
      </ns0:c>
      <ns0:c r="C29" s="22">
        <ns0:f>COUNTIF(Transactions!$A$2:$A$1000, A29)</ns0:f>
        <ns0:v/>
      </ns0:c>
      <ns0:c r="D29" s="23">
        <ns0:f>SUMIFS(Transactions!$E$2:$E$1000, Transactions!$A$2:$A$1000, A29, Transactions!$K$2:$K$1000, "Need")</ns0:f>
        <ns0:v/>
      </ns0:c>
      <ns0:c r="E29" s="23">
        <ns0:f>SUMIFS(Transactions!$E$2:$E$1000, Transactions!$A$2:$A$1000, A29, Transactions!$K$2:$K$1000, "Want")</ns0:f>
        <ns0:v/>
      </ns0:c>
      <ns0:c r="F29" s="23">
        <ns0:f>SUMIFS(Transactions!$E$2:$E$1000, Transactions!$A$2:$A$1000, A29, Transactions!$K$2:$K$1000, "Transfer")</ns0:f>
        <ns0:v/>
      </ns0:c>
      <ns0:c r="G29" s="44">
        <ns0:f>D29+E29</ns0:f>
        <ns0:v/>
      </ns0:c>
      <ns0:c r="H29" s="23">
        <ns0:f>G29+F29</ns0:f>
        <ns0:v/>
      </ns0:c>
      <ns0:c r="I29" s="25" t="inlineStr">
        <ns0:is>
          <ns0:t>--</ns0:t>
        </ns0:is>
      </ns0:c>
    </ns0:row>
    <ns0:row r="30" ht="20.15" customHeight="1" s="36">
      <ns0:c r="A30" s="21" t="n">
        <ns0:v>46318</ns0:v>
      </ns0:c>
      <ns0:c r="B30" s="22">
        <ns0:f>TEXT(A30, "dddd")</ns0:f>
        <ns0:v/>
      </ns0:c>
      <ns0:c r="C30" s="22">
        <ns0:f>COUNTIF(Transactions!$A$2:$A$1000, A30)</ns0:f>
        <ns0:v/>
      </ns0:c>
      <ns0:c r="D30" s="23">
        <ns0:f>SUMIFS(Transactions!$E$2:$E$1000, Transactions!$A$2:$A$1000, A30, Transactions!$K$2:$K$1000, "Need")</ns0:f>
        <ns0:v/>
      </ns0:c>
      <ns0:c r="E30" s="23">
        <ns0:f>SUMIFS(Transactions!$E$2:$E$1000, Transactions!$A$2:$A$1000, A30, Transactions!$K$2:$K$1000, "Want")</ns0:f>
        <ns0:v/>
      </ns0:c>
      <ns0:c r="F30" s="23">
        <ns0:f>SUMIFS(Transactions!$E$2:$E$1000, Transactions!$A$2:$A$1000, A30, Transactions!$K$2:$K$1000, "Transfer")</ns0:f>
        <ns0:v/>
      </ns0:c>
      <ns0:c r="G30" s="44">
        <ns0:f>D30+E30</ns0:f>
        <ns0:v/>
      </ns0:c>
      <ns0:c r="H30" s="23">
        <ns0:f>G30+F30</ns0:f>
        <ns0:v/>
      </ns0:c>
      <ns0:c r="I30" s="25" t="inlineStr">
        <ns0:is>
          <ns0:t>--</ns0:t>
        </ns0:is>
      </ns0:c>
    </ns0:row>
    <ns0:row r="31" ht="20.15" customHeight="1" s="36">
      <ns0:c r="A31" s="21" t="n">
        <ns0:v>46319</ns0:v>
      </ns0:c>
      <ns0:c r="B31" s="22">
        <ns0:f>TEXT(A31, "dddd")</ns0:f>
        <ns0:v/>
      </ns0:c>
      <ns0:c r="C31" s="22">
        <ns0:f>COUNTIF(Transactions!$A$2:$A$1000, A31)</ns0:f>
        <ns0:v/>
      </ns0:c>
      <ns0:c r="D31" s="23">
        <ns0:f>SUMIFS(Transactions!$E$2:$E$1000, Transactions!$A$2:$A$1000, A31, Transactions!$K$2:$K$1000, "Need")</ns0:f>
        <ns0:v/>
      </ns0:c>
      <ns0:c r="E31" s="23">
        <ns0:f>SUMIFS(Transactions!$E$2:$E$1000, Transactions!$A$2:$A$1000, A31, Transactions!$K$2:$K$1000, "Want")</ns0:f>
        <ns0:v/>
      </ns0:c>
      <ns0:c r="F31" s="23">
        <ns0:f>SUMIFS(Transactions!$E$2:$E$1000, Transactions!$A$2:$A$1000, A31, Transactions!$K$2:$K$1000, "Transfer")</ns0:f>
        <ns0:v/>
      </ns0:c>
      <ns0:c r="G31" s="44">
        <ns0:f>D31+E31</ns0:f>
        <ns0:v/>
      </ns0:c>
      <ns0:c r="H31" s="23">
        <ns0:f>G31+F31</ns0:f>
        <ns0:v/>
      </ns0:c>
      <ns0:c r="I31" s="25" t="inlineStr">
        <ns0:is>
          <ns0:t>--</ns0:t>
        </ns0:is>
      </ns0:c>
    </ns0:row>
    <ns0:row r="32" ht="20.15" customHeight="1" s="36">
      <ns0:c r="A32" s="21" t="n">
        <ns0:v>46320</ns0:v>
      </ns0:c>
      <ns0:c r="B32" s="22">
        <ns0:f>TEXT(A32, "dddd")</ns0:f>
        <ns0:v/>
      </ns0:c>
      <ns0:c r="C32" s="22">
        <ns0:f>COUNTIF(Transactions!$A$2:$A$1000, A32)</ns0:f>
        <ns0:v/>
      </ns0:c>
      <ns0:c r="D32" s="23">
        <ns0:f>SUMIFS(Transactions!$E$2:$E$1000, Transactions!$A$2:$A$1000, A32, Transactions!$K$2:$K$1000, "Need")</ns0:f>
        <ns0:v/>
      </ns0:c>
      <ns0:c r="E32" s="23">
        <ns0:f>SUMIFS(Transactions!$E$2:$E$1000, Transactions!$A$2:$A$1000, A32, Transactions!$K$2:$K$1000, "Want")</ns0:f>
        <ns0:v/>
      </ns0:c>
      <ns0:c r="F32" s="23">
        <ns0:f>SUMIFS(Transactions!$E$2:$E$1000, Transactions!$A$2:$A$1000, A32, Transactions!$K$2:$K$1000, "Transfer")</ns0:f>
        <ns0:v/>
      </ns0:c>
      <ns0:c r="G32" s="44">
        <ns0:f>D32+E32</ns0:f>
        <ns0:v/>
      </ns0:c>
      <ns0:c r="H32" s="23">
        <ns0:f>G32+F32</ns0:f>
        <ns0:v/>
      </ns0:c>
      <ns0:c r="I32" s="25" t="inlineStr">
        <ns0:is>
          <ns0:t>--</ns0:t>
        </ns0:is>
      </ns0:c>
    </ns0:row>
    <ns0:row r="33" ht="20.15" customHeight="1" s="36">
      <ns0:c r="A33" s="21" t="n">
        <ns0:v>46321</ns0:v>
      </ns0:c>
      <ns0:c r="B33" s="22">
        <ns0:f>TEXT(A33, "dddd")</ns0:f>
        <ns0:v/>
      </ns0:c>
      <ns0:c r="C33" s="22">
        <ns0:f>COUNTIF(Transactions!$A$2:$A$1000, A33)</ns0:f>
        <ns0:v/>
      </ns0:c>
      <ns0:c r="D33" s="23">
        <ns0:f>SUMIFS(Transactions!$E$2:$E$1000, Transactions!$A$2:$A$1000, A33, Transactions!$K$2:$K$1000, "Need")</ns0:f>
        <ns0:v/>
      </ns0:c>
      <ns0:c r="E33" s="23">
        <ns0:f>SUMIFS(Transactions!$E$2:$E$1000, Transactions!$A$2:$A$1000, A33, Transactions!$K$2:$K$1000, "Want")</ns0:f>
        <ns0:v/>
      </ns0:c>
      <ns0:c r="F33" s="23">
        <ns0:f>SUMIFS(Transactions!$E$2:$E$1000, Transactions!$A$2:$A$1000, A33, Transactions!$K$2:$K$1000, "Transfer")</ns0:f>
        <ns0:v/>
      </ns0:c>
      <ns0:c r="G33" s="44">
        <ns0:f>D33+E33</ns0:f>
        <ns0:v/>
      </ns0:c>
      <ns0:c r="H33" s="23">
        <ns0:f>G33+F33</ns0:f>
        <ns0:v/>
      </ns0:c>
      <ns0:c r="I33" s="25" t="inlineStr">
        <ns0:is>
          <ns0:t>--</ns0:t>
        </ns0:is>
      </ns0:c>
    </ns0:row>
    <ns0:row r="34" ht="20.15" customHeight="1" s="36">
      <ns0:c r="A34" s="21" t="n">
        <ns0:v>46322</ns0:v>
      </ns0:c>
      <ns0:c r="B34" s="22">
        <ns0:f>TEXT(A34, "dddd")</ns0:f>
        <ns0:v/>
      </ns0:c>
      <ns0:c r="C34" s="22">
        <ns0:f>COUNTIF(Transactions!$A$2:$A$1000, A34)</ns0:f>
        <ns0:v/>
      </ns0:c>
      <ns0:c r="D34" s="23">
        <ns0:f>SUMIFS(Transactions!$E$2:$E$1000, Transactions!$A$2:$A$1000, A34, Transactions!$K$2:$K$1000, "Need")</ns0:f>
        <ns0:v/>
      </ns0:c>
      <ns0:c r="E34" s="23">
        <ns0:f>SUMIFS(Transactions!$E$2:$E$1000, Transactions!$A$2:$A$1000, A34, Transactions!$K$2:$K$1000, "Want")</ns0:f>
        <ns0:v/>
      </ns0:c>
      <ns0:c r="F34" s="23">
        <ns0:f>SUMIFS(Transactions!$E$2:$E$1000, Transactions!$A$2:$A$1000, A34, Transactions!$K$2:$K$1000, "Transfer")</ns0:f>
        <ns0:v/>
      </ns0:c>
      <ns0:c r="G34" s="44">
        <ns0:f>D34+E34</ns0:f>
        <ns0:v/>
      </ns0:c>
      <ns0:c r="H34" s="23">
        <ns0:f>G34+F34</ns0:f>
        <ns0:v/>
      </ns0:c>
      <ns0:c r="I34" s="25" t="inlineStr">
        <ns0:is>
          <ns0:t>--</ns0:t>
        </ns0:is>
      </ns0:c>
    </ns0:row>
    <ns0:row r="35" ht="20.15" customHeight="1" s="36">
      <ns0:c r="A35" s="21" t="n">
        <ns0:v>46323</ns0:v>
      </ns0:c>
      <ns0:c r="B35" s="22">
        <ns0:f>TEXT(A35, "dddd")</ns0:f>
        <ns0:v/>
      </ns0:c>
      <ns0:c r="C35" s="22">
        <ns0:f>COUNTIF(Transactions!$A$2:$A$1000, A35)</ns0:f>
        <ns0:v/>
      </ns0:c>
      <ns0:c r="D35" s="23">
        <ns0:f>SUMIFS(Transactions!$E$2:$E$1000, Transactions!$A$2:$A$1000, A35, Transactions!$K$2:$K$1000, "Need")</ns0:f>
        <ns0:v/>
      </ns0:c>
      <ns0:c r="E35" s="23">
        <ns0:f>SUMIFS(Transactions!$E$2:$E$1000, Transactions!$A$2:$A$1000, A35, Transactions!$K$2:$K$1000, "Want")</ns0:f>
        <ns0:v/>
      </ns0:c>
      <ns0:c r="F35" s="23">
        <ns0:f>SUMIFS(Transactions!$E$2:$E$1000, Transactions!$A$2:$A$1000, A35, Transactions!$K$2:$K$1000, "Transfer")</ns0:f>
        <ns0:v/>
      </ns0:c>
      <ns0:c r="G35" s="44">
        <ns0:f>D35+E35</ns0:f>
        <ns0:v/>
      </ns0:c>
      <ns0:c r="H35" s="23">
        <ns0:f>G35+F35</ns0:f>
        <ns0:v/>
      </ns0:c>
      <ns0:c r="I35" s="25" t="inlineStr">
        <ns0:is>
          <ns0:t>--</ns0:t>
        </ns0:is>
      </ns0:c>
    </ns0:row>
    <ns0:row r="36" ht="20.15" customHeight="1" s="36">
      <ns0:c r="A36" s="21" t="n">
        <ns0:v>46324</ns0:v>
      </ns0:c>
      <ns0:c r="B36" s="22">
        <ns0:f>TEXT(A36, "dddd")</ns0:f>
        <ns0:v/>
      </ns0:c>
      <ns0:c r="C36" s="22">
        <ns0:f>COUNTIF(Transactions!$A$2:$A$1000, A36)</ns0:f>
        <ns0:v/>
      </ns0:c>
      <ns0:c r="D36" s="23">
        <ns0:f>SUMIFS(Transactions!$E$2:$E$1000, Transactions!$A$2:$A$1000, A36, Transactions!$K$2:$K$1000, "Need")</ns0:f>
        <ns0:v/>
      </ns0:c>
      <ns0:c r="E36" s="23">
        <ns0:f>SUMIFS(Transactions!$E$2:$E$1000, Transactions!$A$2:$A$1000, A36, Transactions!$K$2:$K$1000, "Want")</ns0:f>
        <ns0:v/>
      </ns0:c>
      <ns0:c r="F36" s="23">
        <ns0:f>SUMIFS(Transactions!$E$2:$E$1000, Transactions!$A$2:$A$1000, A36, Transactions!$K$2:$K$1000, "Transfer")</ns0:f>
        <ns0:v/>
      </ns0:c>
      <ns0:c r="G36" s="44">
        <ns0:f>D36+E36</ns0:f>
        <ns0:v/>
      </ns0:c>
      <ns0:c r="H36" s="23">
        <ns0:f>G36+F36</ns0:f>
        <ns0:v/>
      </ns0:c>
      <ns0:c r="I36" s="25" t="inlineStr">
        <ns0:is>
          <ns0:t>--</ns0:t>
        </ns0:is>
      </ns0:c>
    </ns0:row>
    <ns0:row r="37" ht="20.15" customHeight="1" s="36">
      <ns0:c r="A37" s="21" t="n">
        <ns0:v>46325</ns0:v>
      </ns0:c>
      <ns0:c r="B37" s="22">
        <ns0:f>TEXT(A37, "dddd")</ns0:f>
        <ns0:v/>
      </ns0:c>
      <ns0:c r="C37" s="22">
        <ns0:f>COUNTIF(Transactions!$A$2:$A$1000, A37)</ns0:f>
        <ns0:v/>
      </ns0:c>
      <ns0:c r="D37" s="23">
        <ns0:f>SUMIFS(Transactions!$E$2:$E$1000, Transactions!$A$2:$A$1000, A37, Transactions!$K$2:$K$1000, "Need")</ns0:f>
        <ns0:v/>
      </ns0:c>
      <ns0:c r="E37" s="23">
        <ns0:f>SUMIFS(Transactions!$E$2:$E$1000, Transactions!$A$2:$A$1000, A37, Transactions!$K$2:$K$1000, "Want")</ns0:f>
        <ns0:v/>
      </ns0:c>
      <ns0:c r="F37" s="23">
        <ns0:f>SUMIFS(Transactions!$E$2:$E$1000, Transactions!$A$2:$A$1000, A37, Transactions!$K$2:$K$1000, "Transfer")</ns0:f>
        <ns0:v/>
      </ns0:c>
      <ns0:c r="G37" s="44">
        <ns0:f>D37+E37</ns0:f>
        <ns0:v/>
      </ns0:c>
      <ns0:c r="H37" s="23">
        <ns0:f>G37+F37</ns0:f>
        <ns0:v/>
      </ns0:c>
      <ns0:c r="I37" s="25" t="inlineStr">
        <ns0:is>
          <ns0:t>--</ns0:t>
        </ns0:is>
      </ns0:c>
    </ns0:row>
    <ns0:row r="38" ht="20.15" customHeight="1" s="36">
      <ns0:c r="A38" s="21" t="n">
        <ns0:v>46326</ns0:v>
      </ns0:c>
      <ns0:c r="B38" s="22">
        <ns0:f>TEXT(A38, "dddd")</ns0:f>
        <ns0:v/>
      </ns0:c>
      <ns0:c r="C38" s="22">
        <ns0:f>COUNTIF(Transactions!$A$2:$A$1000, A38)</ns0:f>
        <ns0:v/>
      </ns0:c>
      <ns0:c r="D38" s="23">
        <ns0:f>SUMIFS(Transactions!$E$2:$E$1000, Transactions!$A$2:$A$1000, A38, Transactions!$K$2:$K$1000, "Need")</ns0:f>
        <ns0:v/>
      </ns0:c>
      <ns0:c r="E38" s="23">
        <ns0:f>SUMIFS(Transactions!$E$2:$E$1000, Transactions!$A$2:$A$1000, A38, Transactions!$K$2:$K$1000, "Want")</ns0:f>
        <ns0:v/>
      </ns0:c>
      <ns0:c r="F38" s="23">
        <ns0:f>SUMIFS(Transactions!$E$2:$E$1000, Transactions!$A$2:$A$1000, A38, Transactions!$K$2:$K$1000, "Transfer")</ns0:f>
        <ns0:v/>
      </ns0:c>
      <ns0:c r="G38" s="44">
        <ns0:f>D38+E38</ns0:f>
        <ns0:v/>
      </ns0:c>
      <ns0:c r="H38" s="23">
        <ns0:f>G38+F38</ns0:f>
        <ns0:v/>
      </ns0:c>
      <ns0:c r="I38" s="25" t="inlineStr">
        <ns0:is>
          <ns0:t>--</ns0:t>
        </ns0:is>
      </ns0:c>
    </ns0:row>
    <ns0:row r="39" ht="24" customHeight="1" s="36">
      <ns0:c r="A39" s="30" t="inlineStr">
        <ns0:is>
          <ns0:t>OCTOBER TOTAL</ns0:t>
        </ns0:is>
      </ns0:c>
      <ns0:c r="B39" s="30" t="inlineStr">
        <ns0:is>
          <ns0:t>31 Days</ns0:t>
        </ns0:is>
      </ns0:c>
      <ns0:c r="C39" s="30">
        <ns0:f>SUM(C8:C38)</ns0:f>
        <ns0:v/>
      </ns0:c>
      <ns0:c r="D39" s="31">
        <ns0:f>SUM(D8:D38)</ns0:f>
        <ns0:v/>
      </ns0:c>
      <ns0:c r="E39" s="31">
        <ns0:f>SUM(E8:E38)</ns0:f>
        <ns0:v/>
      </ns0:c>
      <ns0:c r="F39" s="31">
        <ns0:f>SUM(F8:F38)</ns0:f>
        <ns0:v/>
      </ns0:c>
      <ns0:c r="G39" s="31">
        <ns0:f>SUM(G8:G38)</ns0:f>
        <ns0:v/>
      </ns0:c>
      <ns0:c r="H39" s="31">
        <ns0:f>SUM(H8:H38)</ns0:f>
        <ns0:v/>
      </ns0:c>
      <ns0:c r="I39" s="28" t="inlineStr">
        <ns0:is>
          <ns0:t>Complete Month Reconciliation</ns0:t>
        </ns0:is>
      </ns0:c>
    </ns0:row>
  </ns0:sheetData>
  <ns0:mergeCells count="23">
    <ns0:mergeCell ref="M8:P8"/>
    <ns0:mergeCell ref="C5:D5"/>
    <ns0:mergeCell ref="N14:P14"/>
    <ns0:mergeCell ref="E5:F5"/>
    <ns0:mergeCell ref="L13:M13"/>
    <ns0:mergeCell ref="C4:D4"/>
    <ns0:mergeCell ref="E4:F4"/>
    <ns0:mergeCell ref="A2:I2"/>
    <ns0:mergeCell ref="L12:M12"/>
    <ns0:mergeCell ref="N10:P10"/>
    <ns0:mergeCell ref="N13:P13"/>
    <ns0:mergeCell ref="L14:M14"/>
    <ns0:mergeCell ref="K7:P7"/>
    <ns0:mergeCell ref="L10:M10"/>
    <ns0:mergeCell ref="A5:B5"/>
    <ns0:mergeCell ref="G5:H5"/>
    <ns0:mergeCell ref="K16:P16"/>
    <ns0:mergeCell ref="A4:B4"/>
    <ns0:mergeCell ref="G4:H4"/>
    <ns0:mergeCell ref="N11:P11"/>
    <ns0:mergeCell ref="A1:I1"/>
    <ns0:mergeCell ref="L11:M11"/>
    <ns0:mergeCell ref="N12:P12"/>
  </ns0:mergeCells>
  <ns0:pageMargins left="0.75" right="0.75" top="1" bottom="1" header="0.5" footer="0.5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5" sqref="A1:E15"/>
    </sheetView>
  </sheetViews>
  <sheetFormatPr baseColWidth="8" defaultRowHeight="14.75"/>
  <cols>
    <col width="20" customWidth="1" style="36" min="1" max="1"/>
    <col width="26.54296875" customWidth="1" style="36" min="2" max="2"/>
    <col width="20" customWidth="1" style="36" min="3" max="5"/>
  </cols>
  <sheetData>
    <row r="1" ht="24" customHeight="1" s="36">
      <c r="A1" s="7" t="inlineStr">
        <is>
          <t>Categories</t>
        </is>
      </c>
      <c r="B1" s="7" t="inlineStr">
        <is>
          <t>Payment Methods</t>
        </is>
      </c>
      <c r="C1" s="7" t="inlineStr">
        <is>
          <t>Accounts</t>
        </is>
      </c>
      <c r="D1" s="7" t="inlineStr">
        <is>
          <t>Types</t>
        </is>
      </c>
      <c r="E1" s="7" t="inlineStr">
        <is>
          <t>Members</t>
        </is>
      </c>
    </row>
    <row r="2">
      <c r="A2" s="8" t="inlineStr">
        <is>
          <t>Housing</t>
        </is>
      </c>
      <c r="B2" s="8" t="inlineStr">
        <is>
          <t>UPI/ONLINE</t>
        </is>
      </c>
      <c r="C2" s="8" t="inlineStr">
        <is>
          <t>SBI (...8112)</t>
        </is>
      </c>
      <c r="D2" s="8" t="inlineStr">
        <is>
          <t>Need</t>
        </is>
      </c>
      <c r="E2" s="8" t="inlineStr">
        <is>
          <t>Arish</t>
        </is>
      </c>
    </row>
    <row r="3">
      <c r="A3" s="8" t="inlineStr">
        <is>
          <t>Utilities</t>
        </is>
      </c>
      <c r="B3" s="8" t="inlineStr">
        <is>
          <t>CASH</t>
        </is>
      </c>
      <c r="C3" s="8" t="inlineStr">
        <is>
          <t>Axis Bank (...6181)</t>
        </is>
      </c>
      <c r="D3" s="8" t="inlineStr">
        <is>
          <t>Want</t>
        </is>
      </c>
      <c r="E3" s="8" t="inlineStr">
        <is>
          <t>Nahid</t>
        </is>
      </c>
    </row>
    <row r="4">
      <c r="A4" s="8" t="inlineStr">
        <is>
          <t>Groceries</t>
        </is>
      </c>
      <c r="B4" s="8" t="inlineStr">
        <is>
          <t>ATM</t>
        </is>
      </c>
      <c r="C4" s="8" t="inlineStr">
        <is>
          <t>Cash in Hand</t>
        </is>
      </c>
      <c r="D4" s="8" t="inlineStr">
        <is>
          <t>Transfer</t>
        </is>
      </c>
      <c r="E4" s="8" t="inlineStr">
        <is>
          <t>Shakir</t>
        </is>
      </c>
    </row>
    <row r="5">
      <c r="A5" s="8" t="inlineStr">
        <is>
          <t>Transport</t>
        </is>
      </c>
      <c r="B5" s="9" t="n"/>
      <c r="C5" s="9" t="n"/>
      <c r="D5" s="9" t="n"/>
      <c r="E5" s="8" t="inlineStr">
        <is>
          <t>Family</t>
        </is>
      </c>
    </row>
    <row r="6">
      <c r="A6" s="8" t="inlineStr">
        <is>
          <t>Communication</t>
        </is>
      </c>
      <c r="B6" s="9" t="n"/>
      <c r="C6" s="9" t="n"/>
      <c r="D6" s="9" t="n"/>
      <c r="E6" s="9" t="n"/>
    </row>
    <row r="7">
      <c r="A7" s="8" t="inlineStr">
        <is>
          <t>Education</t>
        </is>
      </c>
      <c r="B7" s="9" t="n"/>
      <c r="C7" s="9" t="n"/>
      <c r="D7" s="9" t="n"/>
      <c r="E7" s="9" t="n"/>
    </row>
    <row r="8">
      <c r="A8" s="8" t="inlineStr">
        <is>
          <t>Health</t>
        </is>
      </c>
      <c r="B8" s="9" t="n"/>
      <c r="C8" s="9" t="n"/>
      <c r="D8" s="9" t="n"/>
      <c r="E8" s="9" t="n"/>
    </row>
    <row r="9">
      <c r="A9" s="8" t="inlineStr">
        <is>
          <t>Eating Out</t>
        </is>
      </c>
      <c r="B9" s="9" t="n"/>
      <c r="C9" s="9" t="n"/>
      <c r="D9" s="9" t="n"/>
      <c r="E9" s="9" t="n"/>
    </row>
    <row r="10">
      <c r="A10" s="8" t="inlineStr">
        <is>
          <t>Shopping</t>
        </is>
      </c>
      <c r="B10" s="9" t="n"/>
      <c r="C10" s="9" t="n"/>
      <c r="D10" s="9" t="n"/>
      <c r="E10" s="9" t="n"/>
    </row>
    <row r="11">
      <c r="A11" s="8" t="inlineStr">
        <is>
          <t>Entertainment</t>
        </is>
      </c>
      <c r="B11" s="9" t="n"/>
      <c r="C11" s="9" t="n"/>
      <c r="D11" s="9" t="n"/>
      <c r="E11" s="9" t="n"/>
    </row>
    <row r="12">
      <c r="A12" s="8" t="inlineStr">
        <is>
          <t>Family/Personal</t>
        </is>
      </c>
      <c r="B12" s="9" t="n"/>
      <c r="C12" s="9" t="n"/>
      <c r="D12" s="9" t="n"/>
      <c r="E12" s="9" t="n"/>
    </row>
    <row r="13">
      <c r="A13" s="8" t="inlineStr">
        <is>
          <t>Financial</t>
        </is>
      </c>
      <c r="B13" s="9" t="n"/>
      <c r="C13" s="9" t="n"/>
      <c r="D13" s="9" t="n"/>
      <c r="E13" s="9" t="n"/>
    </row>
    <row r="14">
      <c r="A14" s="8" t="inlineStr">
        <is>
          <t>Other</t>
        </is>
      </c>
      <c r="B14" s="9" t="n"/>
      <c r="C14" s="9" t="n"/>
      <c r="D14" s="9" t="n"/>
      <c r="E14" s="9" t="n"/>
    </row>
    <row r="15">
      <c r="A15" s="8" t="inlineStr">
        <is>
          <t>Transfer/Conversion</t>
        </is>
      </c>
      <c r="B15" s="9" t="n"/>
      <c r="C15" s="9" t="n"/>
      <c r="D15" s="9" t="n"/>
      <c r="E15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2026-10-07T18:00:08Z</dcterms:created>
  <dcterms:modified xsi:type="dcterms:W3CDTF">2026-10-10T08:53:27Z</dcterms:modified>
  <cp:lastModifiedBy>Shakir Hussain</cp:lastModifiedBy>
</cp:coreProperties>
</file>